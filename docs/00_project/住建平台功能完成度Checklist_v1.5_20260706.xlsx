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5cbae3eae4b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7c6af80930d24f98"/>
    <x:sheet xmlns:r="http://schemas.openxmlformats.org/officeDocument/2006/relationships" name="功能Checklist" sheetId="2" r:id="R006ad33ce1fd4b6f"/>
    <x:sheet xmlns:r="http://schemas.openxmlformats.org/officeDocument/2006/relationships" name="核查字典" sheetId="3" r:id="R03db3d54b0624a8d"/>
    <x:sheet xmlns:r="http://schemas.openxmlformats.org/officeDocument/2006/relationships" name="更新记录" sheetId="4" r:id="R89c6dc40dd334a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34A6B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8">
    <x:border/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C6E0B4"/>
        </x:patternFill>
      </x:fill>
    </x:dxf>
    <x:dxf>
      <x:font>
        <x:color rgb="FF548235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C65911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C00000"/>
        </x:patternFill>
      </x:fill>
    </x:dxf>
    <x:dxf>
      <x:font>
        <x:b/>
        <x:color rgb="FF7F2704"/>
      </x:font>
      <x:fill>
        <x:patternFill>
          <x:bgColor rgb="FFF4B18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bca4dc139e4efc" /><Relationship Type="http://schemas.openxmlformats.org/officeDocument/2006/relationships/theme" Target="/xl/theme/theme1.xml" Id="R0d875fc61f554878" /><Relationship Type="http://schemas.openxmlformats.org/officeDocument/2006/relationships/sharedStrings" Target="/xl/sharedStrings.xml" Id="R1423659a79e44236" /><Relationship Type="http://schemas.openxmlformats.org/officeDocument/2006/relationships/worksheet" Target="/xl/worksheets/sheet1.xml" Id="R7c6af80930d24f98" /><Relationship Type="http://schemas.openxmlformats.org/officeDocument/2006/relationships/worksheet" Target="/xl/worksheets/sheet2.xml" Id="R006ad33ce1fd4b6f" /><Relationship Type="http://schemas.openxmlformats.org/officeDocument/2006/relationships/worksheet" Target="/xl/worksheets/sheet3.xml" Id="R03db3d54b0624a8d" /><Relationship Type="http://schemas.openxmlformats.org/officeDocument/2006/relationships/worksheet" Target="/xl/worksheets/sheet4.xml" Id="R89c6dc40dd334af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db50afb46a346d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完成度</c:v>
          </c:tx>
          <c:cat>
            <c:strRef>
              <c:f>'总览'!$B$13:$B$25</c:f>
              <c:strCache>
                <c:ptCount val="0"/>
              </c:strCache>
            </c:strRef>
          </c:cat>
          <c:val>
            <c:numRef>
              <c:f>'总览'!$D$13:$D$25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b50afb46a346d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unctionChecklistTable" displayName="FunctionChecklistTable" ref="A4:P165" headerRowCount="1">
  <x:tableColumns count="16">
    <x:tableColumn id="1" name="检查项ID"/>
    <x:tableColumn id="2" name="PDD章节"/>
    <x:tableColumn id="3" name="一级模块"/>
    <x:tableColumn id="4" name="功能/检查项"/>
    <x:tableColumn id="5" name="PDD要求与验收含义"/>
    <x:tableColumn id="6" name="当前状态"/>
    <x:tableColumn id="7" name="完成度"/>
    <x:tableColumn id="8" name="当前实现与证据"/>
    <x:tableColumn id="9" name="当前缺口/风险"/>
    <x:tableColumn id="10" name="后续核查方法/通过标准"/>
    <x:tableColumn id="11" name="优先级"/>
    <x:tableColumn id="12" name="阶段归属"/>
    <x:tableColumn id="13" name="来源"/>
    <x:tableColumn id="14" name="责任建议"/>
    <x:tableColumn id="15" name="最后核查日期"/>
    <x:tableColumn id="16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c3d39b5c8f241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0251ff7cf34f0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2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26" hidden="0" customWidth="1"/>
  </x:cols>
  <x:sheetData>
    <x:row r="1" ht="28" customHeight="1">
      <x:c r="A1" s="66" t="str">
        <x:v>PDD V1.2 第5章功能完成度总览</x:v>
      </x:c>
      <x:c r="B1" s="66"/>
      <x:c r="C1" s="66"/>
      <x:c r="D1" s="66"/>
      <x:c r="E1" s="66"/>
      <x:c r="F1" s="66"/>
      <x:c r="G1" s="66"/>
      <x:c r="H1" s="66"/>
    </x:row>
    <x:row r="2" ht="38" customHeight="1">
      <x:c r="A2" s="14" t="str">
        <x:v>统计口径：PDD第5章全量功能 + 评审补充项。第一阶段完成度只统计“一期必选、一期轻量、平台底座”。</x:v>
      </x:c>
      <x:c r="B2" s="14"/>
      <x:c r="C2" s="14"/>
      <x:c r="D2" s="14"/>
      <x:c r="E2" s="14"/>
      <x:c r="F2" s="14"/>
      <x:c r="G2" s="14"/>
      <x:c r="H2" s="14"/>
    </x:row>
    <x:row r="3">
      <x:c r="A3" s="48"/>
      <x:c r="B3" s="48"/>
      <x:c r="C3" s="48"/>
      <x:c r="D3" s="48"/>
      <x:c r="E3" s="48"/>
      <x:c r="F3" s="48"/>
      <x:c r="G3" s="48"/>
      <x:c r="H3" s="48"/>
    </x:row>
    <x:row r="4">
      <x:c r="A4" s="31" t="str">
        <x:v>关键指标</x:v>
      </x:c>
      <x:c r="B4" s="33" t="str">
        <x:v>数值</x:v>
      </x:c>
      <x:c r="C4" s="48"/>
      <x:c r="D4" s="31" t="str">
        <x:v>状态</x:v>
      </x:c>
      <x:c r="E4" s="33" t="str">
        <x:v>数量</x:v>
      </x:c>
      <x:c r="F4" s="48"/>
      <x:c r="G4" s="48"/>
      <x:c r="H4" s="48"/>
    </x:row>
    <x:row r="5">
      <x:c r="A5" s="48" t="str">
        <x:v>检查项总数</x:v>
      </x:c>
      <x:c r="B5" s="48" t="n">
        <x:f>COUNTA('功能Checklist'!A5:A165)</x:f>
        <x:v>161</x:v>
      </x:c>
      <x:c r="C5" s="48"/>
      <x:c r="D5" s="48" t="str">
        <x:v>完成</x:v>
      </x:c>
      <x:c r="E5" s="48" t="n">
        <x:f>COUNTIF('功能Checklist'!F5:F165,"完成")</x:f>
        <x:v>0</x:v>
      </x:c>
      <x:c r="F5" s="48"/>
      <x:c r="G5" s="48"/>
      <x:c r="H5" s="48"/>
    </x:row>
    <x:row r="6">
      <x:c r="A6" s="48" t="str">
        <x:v>PDD第5章全量平均完成度</x:v>
      </x:c>
      <x:c r="B6" s="67" t="n">
        <x:f>AVERAGE('功能Checklist'!G5:G165)</x:f>
        <x:v>0.2107453416149069</x:v>
      </x:c>
      <x:c r="C6" s="48"/>
      <x:c r="D6" s="48" t="str">
        <x:v>基本完成</x:v>
      </x:c>
      <x:c r="E6" s="48" t="n">
        <x:f>COUNTIF('功能Checklist'!F5:F165,"基本完成")</x:f>
        <x:v>11</x:v>
      </x:c>
      <x:c r="F6" s="48"/>
      <x:c r="G6" s="48"/>
      <x:c r="H6" s="48"/>
    </x:row>
    <x:row r="7">
      <x:c r="A7" s="48" t="str">
        <x:v>第一阶段范围平均完成度</x:v>
      </x:c>
      <x:c r="B7" s="67" t="n">
        <x:f>IFERROR((SUMIF('功能Checklist'!L5:L165,"一期必选",'功能Checklist'!G5:G165)+SUMIF('功能Checklist'!L5:L165,"一期轻量",'功能Checklist'!G5:G165)+SUMIF('功能Checklist'!L5:L165,"平台底座",'功能Checklist'!G5:G165))/(COUNTIF('功能Checklist'!L5:L165,"一期必选")+COUNTIF('功能Checklist'!L5:L165,"一期轻量")+COUNTIF('功能Checklist'!L5:L165,"平台底座")),0)</x:f>
        <x:v>0.24699248120300754</x:v>
      </x:c>
      <x:c r="C7" s="48"/>
      <x:c r="D7" s="48" t="str">
        <x:v>部分完成</x:v>
      </x:c>
      <x:c r="E7" s="48" t="n">
        <x:f>COUNTIF('功能Checklist'!F5:F165,"部分完成")</x:f>
        <x:v>36</x:v>
      </x:c>
      <x:c r="F7" s="48"/>
      <x:c r="G7" s="48"/>
      <x:c r="H7" s="48"/>
    </x:row>
    <x:row r="8">
      <x:c r="A8" s="48" t="str">
        <x:v>P0未完成/少量实现数</x:v>
      </x:c>
      <x:c r="B8" s="48" t="n">
        <x:f>COUNTIFS('功能Checklist'!K5:K165,"P0",'功能Checklist'!G5:G165,"&lt;0.3")</x:f>
        <x:v>35</x:v>
      </x:c>
      <x:c r="C8" s="48"/>
      <x:c r="D8" s="48" t="str">
        <x:v>少量实现</x:v>
      </x:c>
      <x:c r="E8" s="48" t="n">
        <x:f>COUNTIF('功能Checklist'!F5:F165,"少量实现")</x:f>
        <x:v>67</x:v>
      </x:c>
      <x:c r="F8" s="48"/>
      <x:c r="G8" s="48"/>
      <x:c r="H8" s="48"/>
    </x:row>
    <x:row r="9">
      <x:c r="A9" s="48" t="str">
        <x:v>2026-07-06 v1.5综合判断</x:v>
      </x:c>
      <x:c r="B9" s="67" t="n">
        <x:v>0.68</x:v>
      </x:c>
      <x:c r="C9" s="48"/>
      <x:c r="D9" s="48" t="str">
        <x:v>未完成</x:v>
      </x:c>
      <x:c r="E9" s="48" t="n">
        <x:f>COUNTIF('功能Checklist'!F5:F165,"未完成")</x:f>
        <x:v>47</x:v>
      </x:c>
      <x:c r="F9" s="48"/>
      <x:c r="G9" s="48"/>
      <x:c r="H9" s="48"/>
    </x:row>
    <x:row r="10" ht="42" customHeight="1">
      <x:c r="A10" s="48" t="str">
        <x:v>口径说明</x:v>
      </x:c>
      <x:c r="B10" s="48" t="str">
        <x:v>68%为v1.5工作台边界内继续完善后的综合判断；本轮只增强工作台SLA、健康状态、任务心跳和行级动作原因，未扩展非工作台模块。细项平均按161项等权统计，更严格且不等同于综合评审总分。</x:v>
      </x:c>
      <x:c r="C10" s="48"/>
      <x:c r="D10" s="48" t="str">
        <x:v>不适用</x:v>
      </x:c>
      <x:c r="E10" s="48" t="n">
        <x:f>COUNTIF('功能Checklist'!F5:F165,"不适用")</x:f>
        <x:v>0</x:v>
      </x:c>
      <x:c r="F10" s="48"/>
      <x:c r="G10" s="48"/>
      <x:c r="H10" s="48"/>
    </x:row>
    <x:row r="11">
      <x:c r="A11" s="48"/>
      <x:c r="B11" s="48"/>
      <x:c r="C11" s="48"/>
      <x:c r="D11" s="48"/>
      <x:c r="E11" s="48"/>
      <x:c r="F11" s="48"/>
      <x:c r="G11" s="48"/>
      <x:c r="H11" s="48"/>
    </x:row>
    <x:row r="12">
      <x:c r="A12" s="31" t="str">
        <x:v>PDD章节</x:v>
      </x:c>
      <x:c r="B12" s="32" t="str">
        <x:v>模块</x:v>
      </x:c>
      <x:c r="C12" s="32" t="str">
        <x:v>检查项数</x:v>
      </x:c>
      <x:c r="D12" s="33" t="str">
        <x:v>平均完成度</x:v>
      </x:c>
      <x:c r="E12" s="48"/>
      <x:c r="F12" s="31" t="str">
        <x:v>阶段归属</x:v>
      </x:c>
      <x:c r="G12" s="32" t="str">
        <x:v>检查项数</x:v>
      </x:c>
      <x:c r="H12" s="33" t="str">
        <x:v>平均完成度</x:v>
      </x:c>
    </x:row>
    <x:row r="13">
      <x:c r="A13" s="48" t="str">
        <x:v>5.1</x:v>
      </x:c>
      <x:c r="B13" s="48" t="str">
        <x:v>工作台</x:v>
      </x:c>
      <x:c r="C13" s="48" t="n">
        <x:f>COUNTIF('功能Checklist'!C5:C165,B13)</x:f>
        <x:v>8</x:v>
      </x:c>
      <x:c r="D13" s="67" t="n">
        <x:f>IFERROR(SUMIF('功能Checklist'!C5:C165,B13,'功能Checklist'!G5:G165)/C13,0)</x:f>
        <x:v>0.6599999999999999</x:v>
      </x:c>
      <x:c r="E13" s="48"/>
      <x:c r="F13" s="48" t="str">
        <x:v>一期必选</x:v>
      </x:c>
      <x:c r="G13" s="48" t="n">
        <x:f>COUNTIF('功能Checklist'!L5:L165,F13)</x:f>
        <x:v>105</x:v>
      </x:c>
      <x:c r="H13" s="67" t="n">
        <x:f>IFERROR(SUMIF('功能Checklist'!L5:L165,F13,'功能Checklist'!G5:G165)/G13,0)</x:f>
        <x:v>0.26533333333333337</x:v>
      </x:c>
    </x:row>
    <x:row r="14">
      <x:c r="A14" s="48" t="str">
        <x:v>5.2</x:v>
      </x:c>
      <x:c r="B14" s="48" t="str">
        <x:v>项目中心</x:v>
      </x:c>
      <x:c r="C14" s="48" t="n">
        <x:f>COUNTIF('功能Checklist'!C5:C165,B14)</x:f>
        <x:v>10</x:v>
      </x:c>
      <x:c r="D14" s="67" t="n">
        <x:f>IFERROR(SUMIF('功能Checklist'!C5:C165,B14,'功能Checklist'!G5:G165)/C14,0)</x:f>
        <x:v>0.21000000000000002</x:v>
      </x:c>
      <x:c r="E14" s="48"/>
      <x:c r="F14" s="48" t="str">
        <x:v>一期轻量</x:v>
      </x:c>
      <x:c r="G14" s="48" t="n">
        <x:f>COUNTIF('功能Checklist'!L5:L165,F14)</x:f>
        <x:v>20</x:v>
      </x:c>
      <x:c r="H14" s="67" t="n">
        <x:f>IFERROR(SUMIF('功能Checklist'!L5:L165,F14,'功能Checklist'!G5:G165)/G14,0)</x:f>
        <x:v>0.172</x:v>
      </x:c>
    </x:row>
    <x:row r="15">
      <x:c r="A15" s="48" t="str">
        <x:v>5.3</x:v>
      </x:c>
      <x:c r="B15" s="48" t="str">
        <x:v>资料中心</x:v>
      </x:c>
      <x:c r="C15" s="48" t="n">
        <x:f>COUNTIF('功能Checklist'!C5:C165,B15)</x:f>
        <x:v>12</x:v>
      </x:c>
      <x:c r="D15" s="67" t="n">
        <x:f>IFERROR(SUMIF('功能Checklist'!C5:C165,B15,'功能Checklist'!G5:G165)/C15,0)</x:f>
        <x:v>0.2833333333333333</x:v>
      </x:c>
      <x:c r="E15" s="48"/>
      <x:c r="F15" s="48" t="str">
        <x:v>平台底座</x:v>
      </x:c>
      <x:c r="G15" s="48" t="n">
        <x:f>COUNTIF('功能Checklist'!L5:L165,F15)</x:f>
        <x:v>8</x:v>
      </x:c>
      <x:c r="H15" s="67" t="n">
        <x:f>IFERROR(SUMIF('功能Checklist'!L5:L165,F15,'功能Checklist'!G5:G165)/G15,0)</x:f>
        <x:v>0.19374999999999998</x:v>
      </x:c>
    </x:row>
    <x:row r="16">
      <x:c r="A16" s="48" t="str">
        <x:v>5.4</x:v>
      </x:c>
      <x:c r="B16" s="48" t="str">
        <x:v>事实与指标</x:v>
      </x:c>
      <x:c r="C16" s="48" t="n">
        <x:f>COUNTIF('功能Checklist'!C5:C165,B16)</x:f>
        <x:v>12</x:v>
      </x:c>
      <x:c r="D16" s="67" t="n">
        <x:f>IFERROR(SUMIF('功能Checklist'!C5:C165,B16,'功能Checklist'!G5:G165)/C16,0)</x:f>
        <x:v>0.17916666666666667</x:v>
      </x:c>
      <x:c r="E16" s="48"/>
      <x:c r="F16" s="48" t="str">
        <x:v>后续阶段</x:v>
      </x:c>
      <x:c r="G16" s="48" t="n">
        <x:f>COUNTIF('功能Checklist'!L5:L165,F16)</x:f>
        <x:v>27</x:v>
      </x:c>
      <x:c r="H16" s="67" t="n">
        <x:f>IFERROR(SUMIF('功能Checklist'!L5:L165,F16,'功能Checklist'!G5:G165)/G16,0)</x:f>
        <x:v>0.039999999999999994</x:v>
      </x:c>
    </x:row>
    <x:row r="17">
      <x:c r="A17" s="48" t="str">
        <x:v>5.5</x:v>
      </x:c>
      <x:c r="B17" s="48" t="str">
        <x:v>模板与知识</x:v>
      </x:c>
      <x:c r="C17" s="48" t="n">
        <x:f>COUNTIF('功能Checklist'!C5:C165,B17)</x:f>
        <x:v>14</x:v>
      </x:c>
      <x:c r="D17" s="67" t="n">
        <x:f>IFERROR(SUMIF('功能Checklist'!C5:C165,B17,'功能Checklist'!G5:G165)/C17,0)</x:f>
        <x:v>0.125</x:v>
      </x:c>
      <x:c r="E17" s="48"/>
      <x:c r="F17" s="48" t="str">
        <x:v>全阶段</x:v>
      </x:c>
      <x:c r="G17" s="48" t="n">
        <x:f>COUNTIF('功能Checklist'!L5:L165,F17)</x:f>
        <x:v>1</x:v>
      </x:c>
      <x:c r="H17" s="67" t="n">
        <x:f>IFERROR(SUMIF('功能Checklist'!L5:L165,F17,'功能Checklist'!G5:G165)/G17,0)</x:f>
        <x:v>0</x:v>
      </x:c>
    </x:row>
    <x:row r="18">
      <x:c r="A18" s="48" t="str">
        <x:v>5.6</x:v>
      </x:c>
      <x:c r="B18" s="48" t="str">
        <x:v>报告编制工作台</x:v>
      </x:c>
      <x:c r="C18" s="48" t="n">
        <x:f>COUNTIF('功能Checklist'!C5:C165,B18)</x:f>
        <x:v>15</x:v>
      </x:c>
      <x:c r="D18" s="67" t="n">
        <x:f>IFERROR(SUMIF('功能Checklist'!C5:C165,B18,'功能Checklist'!G5:G165)/C18,0)</x:f>
        <x:v>0.2633333333333334</x:v>
      </x:c>
      <x:c r="E18" s="48"/>
      <x:c r="F18" s="48"/>
      <x:c r="G18" s="48"/>
      <x:c r="H18" s="48"/>
    </x:row>
    <x:row r="19">
      <x:c r="A19" s="48" t="str">
        <x:v>5.7</x:v>
      </x:c>
      <x:c r="B19" s="48" t="str">
        <x:v>GIS与区域分析</x:v>
      </x:c>
      <x:c r="C19" s="48" t="n">
        <x:f>COUNTIF('功能Checklist'!C5:C165,B19)</x:f>
        <x:v>9</x:v>
      </x:c>
      <x:c r="D19" s="67" t="n">
        <x:f>IFERROR(SUMIF('功能Checklist'!C5:C165,B19,'功能Checklist'!G5:G165)/C19,0)</x:f>
        <x:v>0.005555555555555556</x:v>
      </x:c>
      <x:c r="E19" s="48"/>
      <x:c r="F19" s="48"/>
      <x:c r="G19" s="48"/>
      <x:c r="H19" s="48"/>
    </x:row>
    <x:row r="20">
      <x:c r="A20" s="48" t="str">
        <x:v>5.8</x:v>
      </x:c>
      <x:c r="B20" s="48" t="str">
        <x:v>指标与投资测算</x:v>
      </x:c>
      <x:c r="C20" s="48" t="n">
        <x:f>COUNTIF('功能Checklist'!C5:C165,B20)</x:f>
        <x:v>12</x:v>
      </x:c>
      <x:c r="D20" s="67" t="n">
        <x:f>IFERROR(SUMIF('功能Checklist'!C5:C165,B20,'功能Checklist'!G5:G165)/C20,0)</x:f>
        <x:v>0.325</x:v>
      </x:c>
      <x:c r="E20" s="48"/>
      <x:c r="F20" s="31" t="str">
        <x:v>优先级</x:v>
      </x:c>
      <x:c r="G20" s="32" t="str">
        <x:v>检查项数</x:v>
      </x:c>
      <x:c r="H20" s="33" t="str">
        <x:v>未达70%数</x:v>
      </x:c>
    </x:row>
    <x:row r="21">
      <x:c r="A21" s="48" t="str">
        <x:v>5.9</x:v>
      </x:c>
      <x:c r="B21" s="48" t="str">
        <x:v>方案决策与收敛</x:v>
      </x:c>
      <x:c r="C21" s="48" t="n">
        <x:f>COUNTIF('功能Checklist'!C5:C165,B21)</x:f>
        <x:v>15</x:v>
      </x:c>
      <x:c r="D21" s="67" t="n">
        <x:f>IFERROR(SUMIF('功能Checklist'!C5:C165,B21,'功能Checklist'!G5:G165)/C21,0)</x:f>
        <x:v>0.016666666666666666</x:v>
      </x:c>
      <x:c r="E21" s="48"/>
      <x:c r="F21" s="48" t="str">
        <x:v>P0</x:v>
      </x:c>
      <x:c r="G21" s="48" t="n">
        <x:f>COUNTIF('功能Checklist'!K5:K165,F21)</x:f>
        <x:v>40</x:v>
      </x:c>
      <x:c r="H21" s="48" t="n">
        <x:f>COUNTIFS('功能Checklist'!K5:K165,F21,'功能Checklist'!G5:G165,"&lt;0.7")</x:f>
        <x:v>40</x:v>
      </x:c>
    </x:row>
    <x:row r="22">
      <x:c r="A22" s="48" t="str">
        <x:v>5.10</x:v>
      </x:c>
      <x:c r="B22" s="48" t="str">
        <x:v>质量检查与审核</x:v>
      </x:c>
      <x:c r="C22" s="48" t="n">
        <x:f>COUNTIF('功能Checklist'!C5:C165,B22)</x:f>
        <x:v>13</x:v>
      </x:c>
      <x:c r="D22" s="67" t="n">
        <x:f>IFERROR(SUMIF('功能Checklist'!C5:C165,B22,'功能Checklist'!G5:G165)/C22,0)</x:f>
        <x:v>0.18846153846153849</x:v>
      </x:c>
      <x:c r="E22" s="48"/>
      <x:c r="F22" s="48" t="str">
        <x:v>P1</x:v>
      </x:c>
      <x:c r="G22" s="48" t="n">
        <x:f>COUNTIF('功能Checklist'!K5:K165,F22)</x:f>
        <x:v>77</x:v>
      </x:c>
      <x:c r="H22" s="48" t="n">
        <x:f>COUNTIFS('功能Checklist'!K5:K165,F22,'功能Checklist'!G5:G165,"&lt;0.7")</x:f>
        <x:v>67</x:v>
      </x:c>
    </x:row>
    <x:row r="23">
      <x:c r="A23" s="48" t="str">
        <x:v>5.11</x:v>
      </x:c>
      <x:c r="B23" s="48" t="str">
        <x:v>成果输出与归档</x:v>
      </x:c>
      <x:c r="C23" s="48" t="n">
        <x:f>COUNTIF('功能Checklist'!C5:C165,B23)</x:f>
        <x:v>13</x:v>
      </x:c>
      <x:c r="D23" s="67" t="n">
        <x:f>IFERROR(SUMIF('功能Checklist'!C5:C165,B23,'功能Checklist'!G5:G165)/C23,0)</x:f>
        <x:v>0.2653846153846154</x:v>
      </x:c>
      <x:c r="E23" s="48"/>
      <x:c r="F23" s="48" t="str">
        <x:v>P2</x:v>
      </x:c>
      <x:c r="G23" s="48" t="n">
        <x:f>COUNTIF('功能Checklist'!K5:K165,F23)</x:f>
        <x:v>32</x:v>
      </x:c>
      <x:c r="H23" s="48" t="n">
        <x:f>COUNTIFS('功能Checklist'!K5:K165,F23,'功能Checklist'!G5:G165,"&lt;0.7")</x:f>
        <x:v>31</x:v>
      </x:c>
    </x:row>
    <x:row r="24">
      <x:c r="A24" s="48" t="str">
        <x:v>5.12</x:v>
      </x:c>
      <x:c r="B24" s="48" t="str">
        <x:v>系统管理与配置</x:v>
      </x:c>
      <x:c r="C24" s="48" t="n">
        <x:f>COUNTIF('功能Checklist'!C5:C165,B24)</x:f>
        <x:v>13</x:v>
      </x:c>
      <x:c r="D24" s="67" t="n">
        <x:f>IFERROR(SUMIF('功能Checklist'!C5:C165,B24,'功能Checklist'!G5:G165)/C24,0)</x:f>
        <x:v>0.2</x:v>
      </x:c>
      <x:c r="E24" s="48"/>
      <x:c r="F24" s="48" t="str">
        <x:v>P3</x:v>
      </x:c>
      <x:c r="G24" s="48" t="n">
        <x:f>COUNTIF('功能Checklist'!K5:K165,F24)</x:f>
        <x:v>12</x:v>
      </x:c>
      <x:c r="H24" s="48" t="n">
        <x:f>COUNTIFS('功能Checklist'!K5:K165,F24,'功能Checklist'!G5:G165,"&lt;0.7")</x:f>
        <x:v>12</x:v>
      </x:c>
    </x:row>
    <x:row r="25">
      <x:c r="A25" s="48" t="str">
        <x:v>SUP</x:v>
      </x:c>
      <x:c r="B25" s="48" t="str">
        <x:v>跨模块补充核查</x:v>
      </x:c>
      <x:c r="C25" s="48" t="n">
        <x:f>COUNTIF('功能Checklist'!C5:C165,B25)</x:f>
        <x:v>15</x:v>
      </x:c>
      <x:c r="D25" s="67" t="n">
        <x:f>IFERROR(SUMIF('功能Checklist'!C5:C165,B25,'功能Checklist'!G5:G165)/C25,0)</x:f>
        <x:v>0.17333333333333334</x:v>
      </x:c>
      <x:c r="E25" s="48"/>
      <x:c r="F25" s="48"/>
      <x:c r="G25" s="48"/>
      <x:c r="H25" s="48"/>
    </x:row>
    <x:row r="26">
      <x:c r="A26" s="48"/>
      <x:c r="B26" s="48"/>
      <x:c r="C26" s="48"/>
      <x:c r="D26" s="48"/>
      <x:c r="E26" s="48"/>
      <x:c r="F26" s="48"/>
      <x:c r="G26" s="48"/>
      <x:c r="H26" s="48"/>
    </x:row>
    <x:row r="27">
      <x:c r="A27" s="48"/>
      <x:c r="B27" s="48"/>
      <x:c r="C27" s="48"/>
      <x:c r="D27" s="48"/>
      <x:c r="E27" s="48"/>
      <x:c r="F27" s="48"/>
      <x:c r="G27" s="48"/>
      <x:c r="H27" s="48"/>
    </x:row>
    <x:row r="28">
      <x:c r="A28" s="48"/>
      <x:c r="B28" s="48"/>
      <x:c r="C28" s="48"/>
      <x:c r="D28" s="48"/>
      <x:c r="E28" s="48"/>
      <x:c r="F28" s="48"/>
      <x:c r="G28" s="48"/>
      <x:c r="H28" s="48"/>
    </x:row>
    <x:row r="29" ht="26" customHeight="1">
      <x:c r="A29" s="68" t="str">
        <x:v>建议优先关闭的第一阶段关键缺口</x:v>
      </x:c>
      <x:c r="B29" s="68"/>
      <x:c r="C29" s="68"/>
      <x:c r="D29" s="68"/>
      <x:c r="E29" s="68"/>
      <x:c r="F29" s="68"/>
      <x:c r="G29" s="68"/>
      <x:c r="H29" s="68"/>
    </x:row>
    <x:row r="30" ht="48" customHeight="1">
      <x:c r="A30" s="31" t="str">
        <x:v>序号</x:v>
      </x:c>
      <x:c r="B30" s="32" t="str">
        <x:v>关键缺口</x:v>
      </x:c>
      <x:c r="C30" s="32" t="str">
        <x:v>对应模块</x:v>
      </x:c>
      <x:c r="D30" s="32" t="str">
        <x:v>优先级</x:v>
      </x:c>
      <x:c r="E30" s="32" t="str">
        <x:v>当前判断</x:v>
      </x:c>
      <x:c r="F30" s="32" t="str">
        <x:v>验收目标</x:v>
      </x:c>
      <x:c r="G30" s="32" t="str">
        <x:v>建议责任</x:v>
      </x:c>
      <x:c r="H30" s="33" t="str">
        <x:v>备注</x:v>
      </x:c>
    </x:row>
    <x:row r="31" ht="48" customHeight="1">
      <x:c r="A31" s="48" t="n">
        <x:v>1</x:v>
      </x:c>
      <x:c r="B31" s="48" t="str">
        <x:v>业务接口统一鉴权、RBAC和项目级权限</x:v>
      </x:c>
      <x:c r="C31" s="48" t="str">
        <x:v>5.2/5.12/SUP</x:v>
      </x:c>
      <x:c r="D31" s="48" t="str">
        <x:v>P0</x:v>
      </x:c>
      <x:c r="E31" s="48" t="str">
        <x:v>未达到</x:v>
      </x:c>
      <x:c r="F31" s="48" t="str">
        <x:v>匿名和无权限项目访问全部被拒绝</x:v>
      </x:c>
      <x:c r="G31" s="48" t="str">
        <x:v>后端/安全</x:v>
      </x:c>
      <x:c r="H31" s="48" t="str">
        <x:v>必须先修复</x:v>
      </x:c>
    </x:row>
    <x:row r="32" ht="48" customHeight="1">
      <x:c r="A32" s="48" t="n">
        <x:v>2</x:v>
      </x:c>
      <x:c r="B32" s="48" t="str">
        <x:v>真实凭据清理与密码轮换</x:v>
      </x:c>
      <x:c r="C32" s="48" t="str">
        <x:v>5.12/SUP</x:v>
      </x:c>
      <x:c r="D32" s="48" t="str">
        <x:v>P0</x:v>
      </x:c>
      <x:c r="E32" s="48" t="str">
        <x:v>高风险</x:v>
      </x:c>
      <x:c r="F32" s="48" t="str">
        <x:v>发布包和仓库无真实密钥，完成轮换与审计</x:v>
      </x:c>
      <x:c r="G32" s="48" t="str">
        <x:v>运维/安全</x:v>
      </x:c>
      <x:c r="H32" s="48" t="str">
        <x:v>立即执行</x:v>
      </x:c>
    </x:row>
    <x:row r="33" ht="48" customHeight="1">
      <x:c r="A33" s="48" t="n">
        <x:v>3</x:v>
      </x:c>
      <x:c r="B33" s="48" t="str">
        <x:v>自动事实候选抽取</x:v>
      </x:c>
      <x:c r="C33" s="48" t="str">
        <x:v>5.3/5.4</x:v>
      </x:c>
      <x:c r="D33" s="48" t="str">
        <x:v>P0</x:v>
      </x:c>
      <x:c r="E33" s="48" t="str">
        <x:v>未实现</x:v>
      </x:c>
      <x:c r="F33" s="48" t="str">
        <x:v>上传资料后自动产生可定位候选</x:v>
      </x:c>
      <x:c r="G33" s="48" t="str">
        <x:v>算法/RAG/后端</x:v>
      </x:c>
      <x:c r="H33" s="48" t="str">
        <x:v>一期核心闭环</x:v>
      </x:c>
    </x:row>
    <x:row r="34" ht="48" customHeight="1">
      <x:c r="A34" s="48" t="n">
        <x:v>4</x:v>
      </x:c>
      <x:c r="B34" s="48" t="str">
        <x:v>锁定事实变更审批与版本</x:v>
      </x:c>
      <x:c r="C34" s="48" t="str">
        <x:v>5.4</x:v>
      </x:c>
      <x:c r="D34" s="48" t="str">
        <x:v>P0</x:v>
      </x:c>
      <x:c r="E34" s="48" t="str">
        <x:v>未实现</x:v>
      </x:c>
      <x:c r="F34" s="48" t="str">
        <x:v>锁定后禁止直改，审批生成新版本</x:v>
      </x:c>
      <x:c r="G34" s="48" t="str">
        <x:v>后端</x:v>
      </x:c>
      <x:c r="H34" s="48" t="str">
        <x:v>影响所有成果</x:v>
      </x:c>
    </x:row>
    <x:row r="35" ht="48" customHeight="1">
      <x:c r="A35" s="48" t="n">
        <x:v>5</x:v>
      </x:c>
      <x:c r="B35" s="48" t="str">
        <x:v>Tiptap/ProseMirror在线编辑与章节版本</x:v>
      </x:c>
      <x:c r="C35" s="48" t="str">
        <x:v>5.6</x:v>
      </x:c>
      <x:c r="D35" s="48" t="str">
        <x:v>P0</x:v>
      </x:c>
      <x:c r="E35" s="48" t="str">
        <x:v>未实现</x:v>
      </x:c>
      <x:c r="F35" s="48" t="str">
        <x:v>可编辑、保存、对比、审核和回滚</x:v>
      </x:c>
      <x:c r="G35" s="48" t="str">
        <x:v>前端/后端</x:v>
      </x:c>
      <x:c r="H35" s="48" t="str">
        <x:v>正式编制必需</x:v>
      </x:c>
    </x:row>
    <x:row r="36" ht="48" customHeight="1">
      <x:c r="A36" s="48" t="n">
        <x:v>6</x:v>
      </x:c>
      <x:c r="B36" s="48" t="str">
        <x:v>质量规则配置化及严重问题发布阻断</x:v>
      </x:c>
      <x:c r="C36" s="48" t="str">
        <x:v>5.10</x:v>
      </x:c>
      <x:c r="D36" s="48" t="str">
        <x:v>P0</x:v>
      </x:c>
      <x:c r="E36" s="48" t="str">
        <x:v>未达到</x:v>
      </x:c>
      <x:c r="F36" s="48" t="str">
        <x:v>严重/阻断问题未关闭时禁止正式发布</x:v>
      </x:c>
      <x:c r="G36" s="48" t="str">
        <x:v>后端/测试</x:v>
      </x:c>
      <x:c r="H36" s="48" t="str">
        <x:v>退出标准</x:v>
      </x:c>
    </x:row>
    <x:row r="37" ht="48" customHeight="1">
      <x:c r="A37" s="48" t="n">
        <x:v>7</x:v>
      </x:c>
      <x:c r="B37" s="48" t="str">
        <x:v>不可变成果版本和归档manifest</x:v>
      </x:c>
      <x:c r="C37" s="48" t="str">
        <x:v>5.11</x:v>
      </x:c>
      <x:c r="D37" s="48" t="str">
        <x:v>P0</x:v>
      </x:c>
      <x:c r="E37" s="48" t="str">
        <x:v>未实现</x:v>
      </x:c>
      <x:c r="F37" s="48" t="str">
        <x:v>发布版不可覆盖，归档包可校验</x:v>
      </x:c>
      <x:c r="G37" s="48" t="str">
        <x:v>后端</x:v>
      </x:c>
      <x:c r="H37" s="48" t="str">
        <x:v>审计必需</x:v>
      </x:c>
    </x:row>
    <x:row r="38" ht="48" customHeight="1">
      <x:c r="A38" s="48" t="n">
        <x:v>8</x:v>
      </x:c>
      <x:c r="B38" s="48" t="str">
        <x:v>空库初始化、种子数据和自包含验收</x:v>
      </x:c>
      <x:c r="C38" s="48" t="str">
        <x:v>SUP</x:v>
      </x:c>
      <x:c r="D38" s="48" t="str">
        <x:v>P0</x:v>
      </x:c>
      <x:c r="E38" s="48" t="str">
        <x:v>未达到</x:v>
      </x:c>
      <x:c r="F38" s="48" t="str">
        <x:v>全新环境一键初始化并通过E2E</x:v>
      </x:c>
      <x:c r="G38" s="48" t="str">
        <x:v>后端/测试/运维</x:v>
      </x:c>
      <x:c r="H38" s="48" t="str">
        <x:v>复现性</x:v>
      </x:c>
    </x:row>
    <x:row r="39" ht="48" customHeight="1">
      <x:c r="A39" s="48" t="n">
        <x:v>9</x:v>
      </x:c>
      <x:c r="B39" s="48" t="str">
        <x:v>CI、自动化测试和可重复构建</x:v>
      </x:c>
      <x:c r="C39" s="48" t="str">
        <x:v>SUP</x:v>
      </x:c>
      <x:c r="D39" s="48" t="str">
        <x:v>P0</x:v>
      </x:c>
      <x:c r="E39" s="48" t="str">
        <x:v>不足</x:v>
      </x:c>
      <x:c r="F39" s="48" t="str">
        <x:v>干净Runner完成构建、迁移、测试和打包</x:v>
      </x:c>
      <x:c r="G39" s="48" t="str">
        <x:v>测试/运维</x:v>
      </x:c>
      <x:c r="H39" s="48" t="str">
        <x:v>交付门槛</x:v>
      </x:c>
    </x:row>
  </x:sheetData>
  <x:mergeCells>
    <x:mergeCell ref="A1:H1"/>
    <x:mergeCell ref="A2:H2"/>
    <x:mergeCell ref="A29:H29"/>
  </x:mergeCells>
  <x:pageMargins left="0.7" right="0.7" top="0.75" bottom="0.75" header="0.3" footer="0.3"/>
  <x:drawing xmlns:r="http://schemas.openxmlformats.org/officeDocument/2006/relationships" r:id="Rcc3d39b5c8f24157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8" hidden="0" customWidth="1"/>
    <x:col min="4" max="4" width="28" hidden="0" customWidth="1"/>
    <x:col min="5" max="5" width="42" hidden="0" customWidth="1"/>
    <x:col min="6" max="6" width="12" hidden="0" customWidth="1"/>
    <x:col min="7" max="7" width="11" hidden="0" customWidth="1"/>
    <x:col min="8" max="8" width="42" hidden="0" customWidth="1"/>
    <x:col min="9" max="9" width="42" hidden="0" customWidth="1"/>
    <x:col min="10" max="10" width="46" hidden="0" customWidth="1"/>
    <x:col min="11" max="11" width="9" hidden="0" customWidth="1"/>
    <x:col min="12" max="12" width="12" hidden="0" customWidth="1"/>
    <x:col min="13" max="13" width="18" hidden="0" customWidth="1"/>
    <x:col min="14" max="14" width="14" hidden="0" customWidth="1"/>
    <x:col min="15" max="15" width="13" hidden="0" customWidth="1"/>
    <x:col min="16" max="16" width="18" hidden="0" customWidth="1"/>
  </x:cols>
  <x:sheetData>
    <x:row r="1" ht="28" customHeight="1">
      <x:c r="A1" s="5" t="str">
        <x:v>住建项目策划与工程咨询辅助编制平台｜功能完成度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42" customHeight="1">
      <x:c r="A2" s="14" t="str">
        <x:v>依据：PDD V1.2 第5章功能模块详细设计 + 2026-07-03代码复评；完成度为当前代码包静态审查与冒烟验证结果，后续复核可直接更新状态、完成度、证据和责任人。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</x:row>
    <x:row r="4" ht="34" customHeight="1">
      <x:c r="A4" s="31" t="str">
        <x:v>检查项ID</x:v>
      </x:c>
      <x:c r="B4" s="32" t="str">
        <x:v>PDD章节</x:v>
      </x:c>
      <x:c r="C4" s="32" t="str">
        <x:v>一级模块</x:v>
      </x:c>
      <x:c r="D4" s="32" t="str">
        <x:v>功能/检查项</x:v>
      </x:c>
      <x:c r="E4" s="32" t="str">
        <x:v>PDD要求与验收含义</x:v>
      </x:c>
      <x:c r="F4" s="32" t="str">
        <x:v>当前状态</x:v>
      </x:c>
      <x:c r="G4" s="32" t="str">
        <x:v>完成度</x:v>
      </x:c>
      <x:c r="H4" s="32" t="str">
        <x:v>当前实现与证据</x:v>
      </x:c>
      <x:c r="I4" s="32" t="str">
        <x:v>当前缺口/风险</x:v>
      </x:c>
      <x:c r="J4" s="32" t="str">
        <x:v>后续核查方法/通过标准</x:v>
      </x:c>
      <x:c r="K4" s="32" t="str">
        <x:v>优先级</x:v>
      </x:c>
      <x:c r="L4" s="32" t="str">
        <x:v>阶段归属</x:v>
      </x:c>
      <x:c r="M4" s="32" t="str">
        <x:v>来源</x:v>
      </x:c>
      <x:c r="N4" s="32" t="str">
        <x:v>责任建议</x:v>
      </x:c>
      <x:c r="O4" s="32" t="str">
        <x:v>最后核查日期</x:v>
      </x:c>
      <x:c r="P4" s="33" t="str">
        <x:v>备注</x:v>
      </x:c>
    </x:row>
    <x:row r="5" ht="66" customHeight="1">
      <x:c r="A5" s="50" t="str">
        <x:v>CHK-5.1-01</x:v>
      </x:c>
      <x:c r="B5" s="50" t="str">
        <x:v>5.1</x:v>
      </x:c>
      <x:c r="C5" s="50" t="str">
        <x:v>工作台</x:v>
      </x:c>
      <x:c r="D5" s="50" t="str">
        <x:v>角色化工作台摘要</x:v>
      </x:c>
      <x:c r="E5" s="50" t="str">
        <x:v>按用户角色聚合待办、项目进度、任务、风险和最近成果。</x:v>
      </x:c>
      <x:c r="F5" s="50" t="str">
        <x:v>基本完成</x:v>
      </x:c>
      <x:c r="G5" s="52" t="n">
        <x:v>0.78</x:v>
      </x:c>
      <x:c r="H5" s="50" t="str">
        <x:v>v1.5在v1.4基础上继续补充工作台健康状态、SLA摘要、任务心跳、疑似卡住分钟数和行级动作原因；GET /api/dashboard 返回 cardHealth、slaSummary、heartbeat、actionReasons。</x:v>
      </x:c>
      <x:c r="I5" s="50" t="str">
        <x:v>仍未完成平台级全量RBAC和专门领导驾驶舱；当前仍是工作台聚合视角增强。</x:v>
      </x:c>
      <x:c r="J5" s="50" t="str">
        <x:v>不同角色登录后显示不同卡片；卡片数量与业务数据一致；无权限项目不显示。</x:v>
      </x:c>
      <x:c r="K5" s="50" t="str">
        <x:v>P1</x:v>
      </x:c>
      <x:c r="L5" s="50" t="str">
        <x:v>一期必选</x:v>
      </x:c>
      <x:c r="M5" s="50" t="str">
        <x:v>PDD V1.2 第5章</x:v>
      </x:c>
      <x:c r="N5" s="50" t="str">
        <x:v>待分配</x:v>
      </x:c>
      <x:c r="O5" s="54" t="n">
        <x:v>46209</x:v>
      </x:c>
      <x:c r="P5" s="50" t="str">
        <x:v>2026-07-06 v1.5：补健康状态汇总、SLA摘要和任务心跳。</x:v>
      </x:c>
    </x:row>
    <x:row r="6" ht="66" customHeight="1">
      <x:c r="A6" s="50" t="str">
        <x:v>CHK-5.1-02</x:v>
      </x:c>
      <x:c r="B6" s="50" t="str">
        <x:v>5.1</x:v>
      </x:c>
      <x:c r="C6" s="50" t="str">
        <x:v>工作台</x:v>
      </x:c>
      <x:c r="D6" s="50" t="str">
        <x:v>统一待办/工作项</x:v>
      </x:c>
      <x:c r="E6" s="50" t="str">
        <x:v>建立 work_item，支持领取、处理、转交、优先级和到期时间。</x:v>
      </x:c>
      <x:c r="F6" s="50" t="str">
        <x:v>基本完成</x:v>
      </x:c>
      <x:c r="G6" s="52" t="n">
        <x:v>0.74</x:v>
      </x:c>
      <x:c r="H6" s="50" t="str">
        <x:v>工作项已有持久化、领取、完成、取消、转交、意见、记录查看；v1.5新增SLA提醒持久化、dueHoursRemaining、slaLevel、slaLabel、actionReasons。</x:v>
      </x:c>
      <x:c r="I6" s="50" t="str">
        <x:v>仍未实现评论回复流、SLA自动升级、自动催办和复杂流转规则；完整RBAC仍属于平台级后续治理。</x:v>
      </x:c>
      <x:c r="J6" s="50" t="str">
        <x:v>上传资料、章节退回、质量阻断等事件可自动生成待办；完成业务动作后待办自动关闭。</x:v>
      </x:c>
      <x:c r="K6" s="50" t="str">
        <x:v>P1</x:v>
      </x:c>
      <x:c r="L6" s="50" t="str">
        <x:v>一期必选</x:v>
      </x:c>
      <x:c r="M6" s="50" t="str">
        <x:v>PDD V1.2 第5章</x:v>
      </x:c>
      <x:c r="N6" s="50" t="str">
        <x:v>待分配</x:v>
      </x:c>
      <x:c r="O6" s="54" t="n">
        <x:v>46209</x:v>
      </x:c>
      <x:c r="P6" s="50" t="str">
        <x:v>2026-07-06 v1.5：工作项增加SLA详细字段、持久化提醒和动作原因。</x:v>
      </x:c>
    </x:row>
    <x:row r="7" ht="66" customHeight="1">
      <x:c r="A7" s="50" t="str">
        <x:v>CHK-5.1-03</x:v>
      </x:c>
      <x:c r="B7" s="50" t="str">
        <x:v>5.1</x:v>
      </x:c>
      <x:c r="C7" s="50" t="str">
        <x:v>工作台</x:v>
      </x:c>
      <x:c r="D7" s="50" t="str">
        <x:v>待审核队列</x:v>
      </x:c>
      <x:c r="E7" s="50" t="str">
        <x:v>集中展示章节、事实、计算、质量问题和成果审核任务。</x:v>
      </x:c>
      <x:c r="F7" s="50" t="str">
        <x:v>基本完成</x:v>
      </x:c>
      <x:c r="G7" s="52" t="n">
        <x:v>0.74</x:v>
      </x:c>
      <x:c r="H7" s="50" t="str">
        <x:v>审核任务已有持久化、分配、意见、通过、退回、会签、记录查看；v1.5新增SLA提醒持久化、dueHoursRemaining、slaLevel、slaLabel、actionReasons。</x:v>
      </x:c>
      <x:c r="I7" s="50" t="str">
        <x:v>仍未实现正式会签规则、报告正文锚点级审阅、退回分支版本、审核SLA自动升级和会签完成条件。</x:v>
      </x:c>
      <x:c r="J7" s="50" t="str">
        <x:v>创建审核任务后只对指定审核人可见；支持通过、退回、转交和留痕。</x:v>
      </x:c>
      <x:c r="K7" s="50" t="str">
        <x:v>P1</x:v>
      </x:c>
      <x:c r="L7" s="50" t="str">
        <x:v>一期必选</x:v>
      </x:c>
      <x:c r="M7" s="50" t="str">
        <x:v>PDD V1.2 第5章</x:v>
      </x:c>
      <x:c r="N7" s="50" t="str">
        <x:v>待分配</x:v>
      </x:c>
      <x:c r="O7" s="54" t="n">
        <x:v>46209</x:v>
      </x:c>
      <x:c r="P7" s="50" t="str">
        <x:v>2026-07-06 v1.5：审核队列增加SLA详细字段、持久化提醒和动作原因。</x:v>
      </x:c>
    </x:row>
    <x:row r="8" ht="66" customHeight="1">
      <x:c r="A8" s="50" t="str">
        <x:v>CHK-5.1-04</x:v>
      </x:c>
      <x:c r="B8" s="50" t="str">
        <x:v>5.1</x:v>
      </x:c>
      <x:c r="C8" s="50" t="str">
        <x:v>工作台</x:v>
      </x:c>
      <x:c r="D8" s="50" t="str">
        <x:v>异步任务中心</x:v>
      </x:c>
      <x:c r="E8" s="50" t="str">
        <x:v>统一展示解析、生成、计算、检查和导出任务的状态、阶段、进度和日志。</x:v>
      </x:c>
      <x:c r="F8" s="50" t="str">
        <x:v>基本完成</x:v>
      </x:c>
      <x:c r="G8" s="52" t="n">
        <x:v>0.82</x:v>
      </x:c>
      <x:c r="H8" s="50" t="str">
        <x:v>异步任务中心已有聚合、阶段日志、取消/重试；v1.5新增heartbeat和stuckMinutes，区分正常更新、长时间未更新和疑似卡住。</x:v>
      </x:c>
      <x:c r="I8" s="50" t="str">
        <x:v>Worker内部执行阶段仍未全面埋点；错误码、链路追踪、任务依赖链和幂等键仍需后续完善。</x:v>
      </x:c>
      <x:c r="J8" s="50" t="str">
        <x:v>任务创建后可在前端查看 queued/running/success/failed/cancelled、进度、阶段及日志。</x:v>
      </x:c>
      <x:c r="K8" s="50" t="str">
        <x:v>P1</x:v>
      </x:c>
      <x:c r="L8" s="50" t="str">
        <x:v>一期必选</x:v>
      </x:c>
      <x:c r="M8" s="50" t="str">
        <x:v>PDD V1.2 第5章</x:v>
      </x:c>
      <x:c r="N8" s="50" t="str">
        <x:v>待分配</x:v>
      </x:c>
      <x:c r="O8" s="54" t="n">
        <x:v>46209</x:v>
      </x:c>
      <x:c r="P8" s="50" t="str">
        <x:v>2026-07-06 v1.5：任务中心增加心跳状态和疑似卡住分钟数。</x:v>
      </x:c>
    </x:row>
    <x:row r="9" ht="66" customHeight="1">
      <x:c r="A9" s="50" t="str">
        <x:v>CHK-5.1-05</x:v>
      </x:c>
      <x:c r="B9" s="50" t="str">
        <x:v>5.1</x:v>
      </x:c>
      <x:c r="C9" s="50" t="str">
        <x:v>工作台</x:v>
      </x:c>
      <x:c r="D9" s="50" t="str">
        <x:v>任务取消与重试</x:v>
      </x:c>
      <x:c r="E9" s="50" t="str">
        <x:v>queued/running 任务可取消，失败任务可按原参数重试并关联 retry_of。</x:v>
      </x:c>
      <x:c r="F9" s="50" t="str">
        <x:v>部分完成</x:v>
      </x:c>
      <x:c r="G9" s="52" t="n">
        <x:v>0.58</x:v>
      </x:c>
      <x:c r="H9" s="50" t="str">
        <x:v>任务取消/重试已有业务入口、状态更新、阶段日志；v1.5继续补充任务心跳和卡住分钟数，便于判断是否需要取消或重试。</x:v>
      </x:c>
      <x:c r="I9" s="50" t="str">
        <x:v>Celery revoke仍为best-effort；Worker安全停止点、强制终止、幂等键和重试次数上限仍需完善。</x:v>
      </x:c>
      <x:c r="J9" s="50" t="str">
        <x:v>取消后 Worker 在安全点停止；重试生成新 attempt；旧任务完整保留。</x:v>
      </x:c>
      <x:c r="K9" s="50" t="str">
        <x:v>P1</x:v>
      </x:c>
      <x:c r="L9" s="50" t="str">
        <x:v>一期必选</x:v>
      </x:c>
      <x:c r="M9" s="50" t="str">
        <x:v>PDD V1.2 第5章</x:v>
      </x:c>
      <x:c r="N9" s="50" t="str">
        <x:v>待分配</x:v>
      </x:c>
      <x:c r="O9" s="54" t="n">
        <x:v>46209</x:v>
      </x:c>
      <x:c r="P9" s="50" t="str">
        <x:v>2026-07-06 v1.5：补任务心跳辅助取消/重试判断，不扩展Worker底层。</x:v>
      </x:c>
    </x:row>
    <x:row r="10" ht="66" customHeight="1">
      <x:c r="A10" s="50" t="str">
        <x:v>CHK-5.1-06</x:v>
      </x:c>
      <x:c r="B10" s="50" t="str">
        <x:v>5.1</x:v>
      </x:c>
      <x:c r="C10" s="50" t="str">
        <x:v>工作台</x:v>
      </x:c>
      <x:c r="D10" s="50" t="str">
        <x:v>站内通知</x:v>
      </x:c>
      <x:c r="E10" s="50" t="str">
        <x:v>逾期、退回、阻断、发布完成等事件触发站内通知。</x:v>
      </x:c>
      <x:c r="F10" s="50" t="str">
        <x:v>基本完成</x:v>
      </x:c>
      <x:c r="G10" s="52" t="n">
        <x:v>0.7</x:v>
      </x:c>
      <x:c r="H10" s="50" t="str">
        <x:v>通知已支持单条已读、归档、批量已读；v1.5对逾期和即将到期的工作项/审核任务生成持久化站内提醒。</x:v>
      </x:c>
      <x:c r="I10" s="50" t="str">
        <x:v>通知订阅偏好仅预留；独立通知中心、WebSocket推送和外部消息推送未实现。</x:v>
      </x:c>
      <x:c r="J10" s="50" t="str">
        <x:v>触发关键业务事件后指定用户收到通知；支持已读、未读和跳转定位。</x:v>
      </x:c>
      <x:c r="K10" s="50" t="str">
        <x:v>P2</x:v>
      </x:c>
      <x:c r="L10" s="50" t="str">
        <x:v>一期轻量</x:v>
      </x:c>
      <x:c r="M10" s="50" t="str">
        <x:v>PDD V1.2 第5章</x:v>
      </x:c>
      <x:c r="N10" s="50" t="str">
        <x:v>待分配</x:v>
      </x:c>
      <x:c r="O10" s="54" t="n">
        <x:v>46209</x:v>
      </x:c>
      <x:c r="P10" s="50" t="str">
        <x:v>2026-07-06 v1.5：SLA风险从页面提示增强为持久化提醒。</x:v>
      </x:c>
    </x:row>
    <x:row r="11" ht="66" customHeight="1">
      <x:c r="A11" s="50" t="str">
        <x:v>CHK-5.1-07</x:v>
      </x:c>
      <x:c r="B11" s="50" t="str">
        <x:v>5.1</x:v>
      </x:c>
      <x:c r="C11" s="50" t="str">
        <x:v>工作台</x:v>
      </x:c>
      <x:c r="D11" s="50" t="str">
        <x:v>领导看板</x:v>
      </x:c>
      <x:c r="E11" s="50" t="str">
        <x:v>只读聚合项目里程碑、风险、方案比较和已发布成果。</x:v>
      </x:c>
      <x:c r="F11" s="50" t="str">
        <x:v>部分完成</x:v>
      </x:c>
      <x:c r="G11" s="52" t="n">
        <x:v>0.54</x:v>
      </x:c>
      <x:c r="H11" s="50" t="str">
        <x:v>管理视角继续展示跨项目进度、风险、任务、成果、事件、SLA提醒和健康状态；v1.5未扩展非工作台领导驾驶舱。</x:v>
      </x:c>
      <x:c r="I11" s="50" t="str">
        <x:v>尚未形成领导专用只读驾驶舱，也未接入里程碑、方案比选和只读发布数据口径。</x:v>
      </x:c>
      <x:c r="J11" s="50" t="str">
        <x:v>领导账号只能读取授权项目的确认数据与发布成果，不能看到草稿敏感数据。</x:v>
      </x:c>
      <x:c r="K11" s="50" t="str">
        <x:v>P2</x:v>
      </x:c>
      <x:c r="L11" s="50" t="str">
        <x:v>一期轻量</x:v>
      </x:c>
      <x:c r="M11" s="50" t="str">
        <x:v>PDD V1.2 第5章</x:v>
      </x:c>
      <x:c r="N11" s="50" t="str">
        <x:v>待分配</x:v>
      </x:c>
      <x:c r="O11" s="54" t="n">
        <x:v>46209</x:v>
      </x:c>
      <x:c r="P11" s="50" t="str">
        <x:v>2026-07-06 v1.5：管理视角可查看健康状态与SLA风险，但仍非完整领导驾驶舱。</x:v>
      </x:c>
    </x:row>
    <x:row r="12" ht="66" customHeight="1">
      <x:c r="A12" s="50" t="str">
        <x:v>CHK-5.1-08</x:v>
      </x:c>
      <x:c r="B12" s="50" t="str">
        <x:v>5.1</x:v>
      </x:c>
      <x:c r="C12" s="50" t="str">
        <x:v>工作台</x:v>
      </x:c>
      <x:c r="D12" s="50" t="str">
        <x:v>卡片容错与卡住检测</x:v>
      </x:c>
      <x:c r="E12" s="50" t="str">
        <x:v>单卡失败不阻断工作台；任务长时间无进度时标记疑似卡住。</x:v>
      </x:c>
      <x:c r="F12" s="50" t="str">
        <x:v>部分完成</x:v>
      </x:c>
      <x:c r="G12" s="52" t="n">
        <x:v>0.38</x:v>
      </x:c>
      <x:c r="H12" s="50" t="str">
        <x:v>v1.5新增cardHealth，按项目、待办、审核、任务、质量、通知输出卡片健康状态；卡住任务保留事件和分钟数。</x:v>
      </x:c>
      <x:c r="I12" s="50" t="str">
        <x:v>后端单卡完全隔离失败、局部错误标记、任务心跳主动上报和管理员终止仍未完成。</x:v>
      </x:c>
      <x:c r="J12" s="50" t="str">
        <x:v>模拟单服务失败仍返回其他卡片；超时任务自动标记并可由管理员终止。</x:v>
      </x:c>
      <x:c r="K12" s="50" t="str">
        <x:v>P2</x:v>
      </x:c>
      <x:c r="L12" s="50" t="str">
        <x:v>后续阶段</x:v>
      </x:c>
      <x:c r="M12" s="50" t="str">
        <x:v>PDD V1.2 第5章</x:v>
      </x:c>
      <x:c r="N12" s="50" t="str">
        <x:v>待分配</x:v>
      </x:c>
      <x:c r="O12" s="54" t="n">
        <x:v>46209</x:v>
      </x:c>
      <x:c r="P12" s="50" t="str">
        <x:v>2026-07-06 v1.5：卡片健康状态可视化，仍未做到后端完全隔离执行。</x:v>
      </x:c>
    </x:row>
    <x:row r="13" ht="66" customHeight="1">
      <x:c r="A13" s="50" t="str">
        <x:v>CHK-5.2-01</x:v>
      </x:c>
      <x:c r="B13" s="50" t="str">
        <x:v>5.2</x:v>
      </x:c>
      <x:c r="C13" s="50" t="str">
        <x:v>项目中心</x:v>
      </x:c>
      <x:c r="D13" s="50" t="str">
        <x:v>项目创建、列表和详情</x:v>
      </x:c>
      <x:c r="E13" s="50" t="str">
        <x:v>支持项目基本信息创建、查询和项目主页。</x:v>
      </x:c>
      <x:c r="F13" s="50" t="str">
        <x:v>基本完成</x:v>
      </x:c>
      <x:c r="G13" s="52" t="n">
        <x:v>0.75</x:v>
      </x:c>
      <x:c r="H13" s="50" t="str">
        <x:v>已实现项目创建、列表和部分详情/概览能力。</x:v>
      </x:c>
      <x:c r="I13" s="50" t="str">
        <x:v>字段、项目主页统计和生命周期操作仍不完整。</x:v>
      </x:c>
      <x:c r="J13" s="50" t="str">
        <x:v>新建项目后可查看详情、状态、负责人、地区、类型、进度与风险。</x:v>
      </x:c>
      <x:c r="K13" s="50" t="str">
        <x:v>P1</x:v>
      </x:c>
      <x:c r="L13" s="50" t="str">
        <x:v>一期必选</x:v>
      </x:c>
      <x:c r="M13" s="50" t="str">
        <x:v>PDD V1.2 第5章</x:v>
      </x:c>
      <x:c r="N13" s="50" t="str">
        <x:v>待分配</x:v>
      </x:c>
      <x:c r="O13" s="54" t="n">
        <x:v>46206</x:v>
      </x:c>
      <x:c r="P13" s="50" t="str"/>
    </x:row>
    <x:row r="14" ht="66" customHeight="1">
      <x:c r="A14" s="50" t="str">
        <x:v>CHK-5.2-02</x:v>
      </x:c>
      <x:c r="B14" s="50" t="str">
        <x:v>5.2</x:v>
      </x:c>
      <x:c r="C14" s="50" t="str">
        <x:v>项目中心</x:v>
      </x:c>
      <x:c r="D14" s="50" t="str">
        <x:v>新建项目向导</x:v>
      </x:c>
      <x:c r="E14" s="50" t="str">
        <x:v>分步配置基本信息、模板、地区规则、密级和成员。</x:v>
      </x:c>
      <x:c r="F14" s="50" t="str">
        <x:v>少量实现</x:v>
      </x:c>
      <x:c r="G14" s="52" t="n">
        <x:v>0.2</x:v>
      </x:c>
      <x:c r="H14" s="50" t="str">
        <x:v>存在基础创建入口。</x:v>
      </x:c>
      <x:c r="I14" s="50" t="str">
        <x:v>缺少分步向导、草稿校验、模板/规则/密级/成员设置。</x:v>
      </x:c>
      <x:c r="J14" s="50" t="str">
        <x:v>向导可保存草稿；缺少模板或规则时不得进入资料清点。</x:v>
      </x:c>
      <x:c r="K14" s="50" t="str">
        <x:v>P1</x:v>
      </x:c>
      <x:c r="L14" s="50" t="str">
        <x:v>一期必选</x:v>
      </x:c>
      <x:c r="M14" s="50" t="str">
        <x:v>PDD V1.2 第5章</x:v>
      </x:c>
      <x:c r="N14" s="50" t="str">
        <x:v>待分配</x:v>
      </x:c>
      <x:c r="O14" s="54" t="n">
        <x:v>46206</x:v>
      </x:c>
      <x:c r="P14" s="50" t="str"/>
    </x:row>
    <x:row r="15" ht="66" customHeight="1">
      <x:c r="A15" s="50" t="str">
        <x:v>CHK-5.2-03</x:v>
      </x:c>
      <x:c r="B15" s="50" t="str">
        <x:v>5.2</x:v>
      </x:c>
      <x:c r="C15" s="50" t="str">
        <x:v>项目中心</x:v>
      </x:c>
      <x:c r="D15" s="50" t="str">
        <x:v>项目初始化</x:v>
      </x:c>
      <x:c r="E15" s="50" t="str">
        <x:v>创建项目时自动初始化目录、事实框架、资料清单、成果项和默认里程碑。</x:v>
      </x:c>
      <x:c r="F15" s="50" t="str">
        <x:v>少量实现</x:v>
      </x:c>
      <x:c r="G15" s="52" t="n">
        <x:v>0.1</x:v>
      </x:c>
      <x:c r="H15" s="50" t="str">
        <x:v>当前主要创建项目主表。</x:v>
      </x:c>
      <x:c r="I15" s="50" t="str">
        <x:v>新项目不能形成可直接运行的完整业务骨架。</x:v>
      </x:c>
      <x:c r="J15" s="50" t="str">
        <x:v>空库中新建项目后自动生成章节、事实定义、资料清单、成果配置和成员。</x:v>
      </x:c>
      <x:c r="K15" s="50" t="str">
        <x:v>P0</x:v>
      </x:c>
      <x:c r="L15" s="50" t="str">
        <x:v>一期必选</x:v>
      </x:c>
      <x:c r="M15" s="50" t="str">
        <x:v>PDD V1.2 第5章</x:v>
      </x:c>
      <x:c r="N15" s="50" t="str">
        <x:v>待分配</x:v>
      </x:c>
      <x:c r="O15" s="54" t="n">
        <x:v>46206</x:v>
      </x:c>
      <x:c r="P15" s="50" t="str"/>
    </x:row>
    <x:row r="16" ht="66" customHeight="1">
      <x:c r="A16" s="50" t="str">
        <x:v>CHK-5.2-04</x:v>
      </x:c>
      <x:c r="B16" s="50" t="str">
        <x:v>5.2</x:v>
      </x:c>
      <x:c r="C16" s="50" t="str">
        <x:v>项目中心</x:v>
      </x:c>
      <x:c r="D16" s="50" t="str">
        <x:v>模板版本绑定</x:v>
      </x:c>
      <x:c r="E16" s="50" t="str">
        <x:v>项目固定绑定已发布模板版本，升级需显式迁移。</x:v>
      </x:c>
      <x:c r="F16" s="50" t="str">
        <x:v>少量实现</x:v>
      </x:c>
      <x:c r="G16" s="52" t="n">
        <x:v>0.15</x:v>
      </x:c>
      <x:c r="H16" s="50" t="str">
        <x:v>有模板元数据和报告大纲文件。</x:v>
      </x:c>
      <x:c r="I16" s="50" t="str">
        <x:v>没有正式 template_version 绑定、冻结和迁移记录。</x:v>
      </x:c>
      <x:c r="J16" s="50" t="str">
        <x:v>项目创建后记录不可变模板版本；切换模板前展示差异和影响并生成迁移记录。</x:v>
      </x:c>
      <x:c r="K16" s="50" t="str">
        <x:v>P1</x:v>
      </x:c>
      <x:c r="L16" s="50" t="str">
        <x:v>一期必选</x:v>
      </x:c>
      <x:c r="M16" s="50" t="str">
        <x:v>PDD V1.2 第5章</x:v>
      </x:c>
      <x:c r="N16" s="50" t="str">
        <x:v>待分配</x:v>
      </x:c>
      <x:c r="O16" s="54" t="n">
        <x:v>46206</x:v>
      </x:c>
      <x:c r="P16" s="50" t="str"/>
    </x:row>
    <x:row r="17" ht="66" customHeight="1">
      <x:c r="A17" s="50" t="str">
        <x:v>CHK-5.2-05</x:v>
      </x:c>
      <x:c r="B17" s="50" t="str">
        <x:v>5.2</x:v>
      </x:c>
      <x:c r="C17" s="50" t="str">
        <x:v>项目中心</x:v>
      </x:c>
      <x:c r="D17" s="50" t="str">
        <x:v>成员与项目级权限</x:v>
      </x:c>
      <x:c r="E17" s="50" t="str">
        <x:v>维护项目负责人、成员、角色、数据范围和有效期。</x:v>
      </x:c>
      <x:c r="F17" s="50" t="str">
        <x:v>少量实现</x:v>
      </x:c>
      <x:c r="G17" s="52" t="n">
        <x:v>0.05</x:v>
      </x:c>
      <x:c r="H17" s="50" t="str">
        <x:v>数据库迁移中出现 project_members 概念。</x:v>
      </x:c>
      <x:c r="I17" s="50" t="str">
        <x:v>模型/API/鉴权流程未真正使用；登录用户近似全局操作员。</x:v>
      </x:c>
      <x:c r="J17" s="50" t="str">
        <x:v>非成员无法读取项目；成员按角色限制读写、审核和下载；负责人至少1人。</x:v>
      </x:c>
      <x:c r="K17" s="50" t="str">
        <x:v>P0</x:v>
      </x:c>
      <x:c r="L17" s="50" t="str">
        <x:v>一期必选</x:v>
      </x:c>
      <x:c r="M17" s="50" t="str">
        <x:v>PDD V1.2 第5章</x:v>
      </x:c>
      <x:c r="N17" s="50" t="str">
        <x:v>待分配</x:v>
      </x:c>
      <x:c r="O17" s="54" t="n">
        <x:v>46206</x:v>
      </x:c>
      <x:c r="P17" s="50" t="str"/>
    </x:row>
    <x:row r="18" ht="66" customHeight="1">
      <x:c r="A18" s="50" t="str">
        <x:v>CHK-5.2-06</x:v>
      </x:c>
      <x:c r="B18" s="50" t="str">
        <x:v>5.2</x:v>
      </x:c>
      <x:c r="C18" s="50" t="str">
        <x:v>项目中心</x:v>
      </x:c>
      <x:c r="D18" s="50" t="str">
        <x:v>里程碑管理</x:v>
      </x:c>
      <x:c r="E18" s="50" t="str">
        <x:v>维护计划时间、实际时间、状态和负责人。</x:v>
      </x:c>
      <x:c r="F18" s="50" t="str">
        <x:v>少量实现</x:v>
      </x:c>
      <x:c r="G18" s="52" t="n">
        <x:v>0.1</x:v>
      </x:c>
      <x:c r="H18" s="50" t="str">
        <x:v>页面存在阶段性进度提示。</x:v>
      </x:c>
      <x:c r="I18" s="50" t="str">
        <x:v>没有 milestone 实体、维护和提醒。</x:v>
      </x:c>
      <x:c r="J18" s="50" t="str">
        <x:v>可创建里程碑、更新状态、显示逾期，并在工作台产生提醒。</x:v>
      </x:c>
      <x:c r="K18" s="50" t="str">
        <x:v>P2</x:v>
      </x:c>
      <x:c r="L18" s="50" t="str">
        <x:v>一期轻量</x:v>
      </x:c>
      <x:c r="M18" s="50" t="str">
        <x:v>PDD V1.2 第5章</x:v>
      </x:c>
      <x:c r="N18" s="50" t="str">
        <x:v>待分配</x:v>
      </x:c>
      <x:c r="O18" s="54" t="n">
        <x:v>46206</x:v>
      </x:c>
      <x:c r="P18" s="50" t="str"/>
    </x:row>
    <x:row r="19" ht="66" customHeight="1">
      <x:c r="A19" s="50" t="str">
        <x:v>CHK-5.2-07</x:v>
      </x:c>
      <x:c r="B19" s="50" t="str">
        <x:v>5.2</x:v>
      </x:c>
      <x:c r="C19" s="50" t="str">
        <x:v>项目中心</x:v>
      </x:c>
      <x:c r="D19" s="50" t="str">
        <x:v>项目密级与项目设置</x:v>
      </x:c>
      <x:c r="E19" s="50" t="str">
        <x:v>配置密级、外部模型调用、水印、语言和项目级覆盖策略。</x:v>
      </x:c>
      <x:c r="F19" s="50" t="str">
        <x:v>未完成</x:v>
      </x:c>
      <x:c r="G19" s="52" t="n">
        <x:v>0</x:v>
      </x:c>
      <x:c r="H19" s="50" t="str">
        <x:v>存在少量全局环境配置。</x:v>
      </x:c>
      <x:c r="I19" s="50" t="str">
        <x:v>无项目密级、外发策略、水印及项目级配置版本。</x:v>
      </x:c>
      <x:c r="J19" s="50" t="str">
        <x:v>密级影响下载、检索和模型外发；降低密级需审批并留痕。</x:v>
      </x:c>
      <x:c r="K19" s="50" t="str">
        <x:v>P1</x:v>
      </x:c>
      <x:c r="L19" s="50" t="str">
        <x:v>一期必选</x:v>
      </x:c>
      <x:c r="M19" s="50" t="str">
        <x:v>PDD V1.2 第5章</x:v>
      </x:c>
      <x:c r="N19" s="50" t="str">
        <x:v>待分配</x:v>
      </x:c>
      <x:c r="O19" s="54" t="n">
        <x:v>46206</x:v>
      </x:c>
      <x:c r="P19" s="50" t="str"/>
    </x:row>
    <x:row r="20" ht="66" customHeight="1">
      <x:c r="A20" s="50" t="str">
        <x:v>CHK-5.2-08</x:v>
      </x:c>
      <x:c r="B20" s="50" t="str">
        <x:v>5.2</x:v>
      </x:c>
      <x:c r="C20" s="50" t="str">
        <x:v>项目中心</x:v>
      </x:c>
      <x:c r="D20" s="50" t="str">
        <x:v>项目状态与关闭/归档</x:v>
      </x:c>
      <x:c r="E20" s="50" t="str">
        <x:v>支持 draft、active、closed、archived 等状态和前置校验。</x:v>
      </x:c>
      <x:c r="F20" s="50" t="str">
        <x:v>少量实现</x:v>
      </x:c>
      <x:c r="G20" s="52" t="n">
        <x:v>0.25</x:v>
      </x:c>
      <x:c r="H20" s="50" t="str">
        <x:v>项目存在基础状态字段。</x:v>
      </x:c>
      <x:c r="I20" s="50" t="str">
        <x:v>无严格状态迁移、关闭前任务/审核校验和关闭后只读控制。</x:v>
      </x:c>
      <x:c r="J20" s="50" t="str">
        <x:v>关闭前检查运行任务和待审核项；关闭后禁止写入但允许受控查询和导出。</x:v>
      </x:c>
      <x:c r="K20" s="50" t="str">
        <x:v>P1</x:v>
      </x:c>
      <x:c r="L20" s="50" t="str">
        <x:v>一期必选</x:v>
      </x:c>
      <x:c r="M20" s="50" t="str">
        <x:v>PDD V1.2 第5章</x:v>
      </x:c>
      <x:c r="N20" s="50" t="str">
        <x:v>待分配</x:v>
      </x:c>
      <x:c r="O20" s="54" t="n">
        <x:v>46206</x:v>
      </x:c>
      <x:c r="P20" s="50" t="str"/>
    </x:row>
    <x:row r="21" ht="66" customHeight="1">
      <x:c r="A21" s="50" t="str">
        <x:v>CHK-5.2-09</x:v>
      </x:c>
      <x:c r="B21" s="50" t="str">
        <x:v>5.2</x:v>
      </x:c>
      <x:c r="C21" s="50" t="str">
        <x:v>项目中心</x:v>
      </x:c>
      <x:c r="D21" s="50" t="str">
        <x:v>项目复制与修订</x:v>
      </x:c>
      <x:c r="E21" s="50" t="str">
        <x:v>支持复制项目配置；已发布项目修订生成新成果版本和修订说明。</x:v>
      </x:c>
      <x:c r="F21" s="50" t="str">
        <x:v>少量实现</x:v>
      </x:c>
      <x:c r="G21" s="52" t="n">
        <x:v>0.1</x:v>
      </x:c>
      <x:c r="H21" s="50" t="str">
        <x:v>未发现完整复制和修订流程。</x:v>
      </x:c>
      <x:c r="I21" s="50" t="str">
        <x:v>缺少复制范围控制、修订基线和变更说明。</x:v>
      </x:c>
      <x:c r="J21" s="50" t="str">
        <x:v>复制时可选择资料/事实/模板；修订不覆盖原发布成果。</x:v>
      </x:c>
      <x:c r="K21" s="50" t="str">
        <x:v>P2</x:v>
      </x:c>
      <x:c r="L21" s="50" t="str">
        <x:v>后续阶段</x:v>
      </x:c>
      <x:c r="M21" s="50" t="str">
        <x:v>PDD V1.2 第5章</x:v>
      </x:c>
      <x:c r="N21" s="50" t="str">
        <x:v>待分配</x:v>
      </x:c>
      <x:c r="O21" s="54" t="n">
        <x:v>46206</x:v>
      </x:c>
      <x:c r="P21" s="50" t="str"/>
    </x:row>
    <x:row r="22" ht="66" customHeight="1">
      <x:c r="A22" s="50" t="str">
        <x:v>CHK-5.2-10</x:v>
      </x:c>
      <x:c r="B22" s="50" t="str">
        <x:v>5.2</x:v>
      </x:c>
      <x:c r="C22" s="50" t="str">
        <x:v>项目中心</x:v>
      </x:c>
      <x:c r="D22" s="50" t="str">
        <x:v>项目编号唯一性</x:v>
      </x:c>
      <x:c r="E22" s="50" t="str">
        <x:v>机构内项目编号唯一并由配置规则生成。</x:v>
      </x:c>
      <x:c r="F22" s="50" t="str">
        <x:v>部分完成</x:v>
      </x:c>
      <x:c r="G22" s="52" t="n">
        <x:v>0.4</x:v>
      </x:c>
      <x:c r="H22" s="50" t="str">
        <x:v>项目具备编码字段。</x:v>
      </x:c>
      <x:c r="I22" s="50" t="str">
        <x:v>未确认数据库唯一约束及编号规则中心。</x:v>
      </x:c>
      <x:c r="J22" s="50" t="str">
        <x:v>并发创建不产生重复编号；编号规则可配置、可版本化。</x:v>
      </x:c>
      <x:c r="K22" s="50" t="str">
        <x:v>P2</x:v>
      </x:c>
      <x:c r="L22" s="50" t="str">
        <x:v>一期轻量</x:v>
      </x:c>
      <x:c r="M22" s="50" t="str">
        <x:v>PDD V1.2 第5章</x:v>
      </x:c>
      <x:c r="N22" s="50" t="str">
        <x:v>待分配</x:v>
      </x:c>
      <x:c r="O22" s="54" t="n">
        <x:v>46206</x:v>
      </x:c>
      <x:c r="P22" s="50" t="str"/>
    </x:row>
    <x:row r="23" ht="66" customHeight="1">
      <x:c r="A23" s="50" t="str">
        <x:v>CHK-5.3-01</x:v>
      </x:c>
      <x:c r="B23" s="50" t="str">
        <x:v>5.3</x:v>
      </x:c>
      <x:c r="C23" s="50" t="str">
        <x:v>资料中心</x:v>
      </x:c>
      <x:c r="D23" s="50" t="str">
        <x:v>文件上传与对象存储</x:v>
      </x:c>
      <x:c r="E23" s="50" t="str">
        <x:v>支持上传文件、保存元数据并写入 MinIO/S3 或本地降级存储。</x:v>
      </x:c>
      <x:c r="F23" s="50" t="str">
        <x:v>基本完成</x:v>
      </x:c>
      <x:c r="G23" s="52" t="n">
        <x:v>0.8</x:v>
      </x:c>
      <x:c r="H23" s="50" t="str">
        <x:v>文档上传、MinIO/本地存储适配已实现。</x:v>
      </x:c>
      <x:c r="I23" s="50" t="str">
        <x:v>缺少分片/断点续传和严格容量策略。</x:v>
      </x:c>
      <x:c r="J23" s="50" t="str">
        <x:v>上传大文件可显示进度；对象存储故障有明确错误且不产生脏记录。</x:v>
      </x:c>
      <x:c r="K23" s="50" t="str">
        <x:v>P1</x:v>
      </x:c>
      <x:c r="L23" s="50" t="str">
        <x:v>一期必选</x:v>
      </x:c>
      <x:c r="M23" s="50" t="str">
        <x:v>PDD V1.2 第5章</x:v>
      </x:c>
      <x:c r="N23" s="50" t="str">
        <x:v>待分配</x:v>
      </x:c>
      <x:c r="O23" s="54" t="n">
        <x:v>46206</x:v>
      </x:c>
      <x:c r="P23" s="50" t="str"/>
    </x:row>
    <x:row r="24" ht="66" customHeight="1">
      <x:c r="A24" s="50" t="str">
        <x:v>CHK-5.3-02</x:v>
      </x:c>
      <x:c r="B24" s="50" t="str">
        <x:v>5.3</x:v>
      </x:c>
      <x:c r="C24" s="50" t="str">
        <x:v>资料中心</x:v>
      </x:c>
      <x:c r="D24" s="50" t="str">
        <x:v>资料列表、详情与分类</x:v>
      </x:c>
      <x:c r="E24" s="50" t="str">
        <x:v>按项目展示文件、分类、来源、密级和解析状态。</x:v>
      </x:c>
      <x:c r="F24" s="50" t="str">
        <x:v>部分完成</x:v>
      </x:c>
      <x:c r="G24" s="52" t="n">
        <x:v>0.55</x:v>
      </x:c>
      <x:c r="H24" s="50" t="str">
        <x:v>已有文档列表、基础状态和分类字段。</x:v>
      </x:c>
      <x:c r="I24" s="50" t="str">
        <x:v>分类主要依赖固定值/人工值，详情和权限审计不完整。</x:v>
      </x:c>
      <x:c r="J24" s="50" t="str">
        <x:v>支持筛选、批量分类、来源维护、详情查看和权限一致性。</x:v>
      </x:c>
      <x:c r="K24" s="50" t="str">
        <x:v>P1</x:v>
      </x:c>
      <x:c r="L24" s="50" t="str">
        <x:v>一期必选</x:v>
      </x:c>
      <x:c r="M24" s="50" t="str">
        <x:v>PDD V1.2 第5章</x:v>
      </x:c>
      <x:c r="N24" s="50" t="str">
        <x:v>待分配</x:v>
      </x:c>
      <x:c r="O24" s="54" t="n">
        <x:v>46206</x:v>
      </x:c>
      <x:c r="P24" s="50" t="str"/>
    </x:row>
    <x:row r="25" ht="66" customHeight="1">
      <x:c r="A25" s="50" t="str">
        <x:v>CHK-5.3-03</x:v>
      </x:c>
      <x:c r="B25" s="50" t="str">
        <x:v>5.3</x:v>
      </x:c>
      <x:c r="C25" s="50" t="str">
        <x:v>资料中心</x:v>
      </x:c>
      <x:c r="D25" s="50" t="str">
        <x:v>DOCX/XLSX/Markdown/文本PDF解析</x:v>
      </x:c>
      <x:c r="E25" s="50" t="str">
        <x:v>提取正文、表格及基础结构并生成文档分块。</x:v>
      </x:c>
      <x:c r="F25" s="50" t="str">
        <x:v>基本完成</x:v>
      </x:c>
      <x:c r="G25" s="52" t="n">
        <x:v>0.7</x:v>
      </x:c>
      <x:c r="H25" s="50" t="str">
        <x:v>DOCX段落/表格、XLSX工作表、Markdown和文本型PDF可解析。</x:v>
      </x:c>
      <x:c r="I25" s="50" t="str">
        <x:v>复杂表格、样式、分页、脚注和精确位置仍有限。</x:v>
      </x:c>
      <x:c r="J25" s="50" t="str">
        <x:v>使用标准样例验证段落、表格、页码/工作表和分块内容正确。</x:v>
      </x:c>
      <x:c r="K25" s="50" t="str">
        <x:v>P1</x:v>
      </x:c>
      <x:c r="L25" s="50" t="str">
        <x:v>一期必选</x:v>
      </x:c>
      <x:c r="M25" s="50" t="str">
        <x:v>PDD V1.2 第5章</x:v>
      </x:c>
      <x:c r="N25" s="50" t="str">
        <x:v>待分配</x:v>
      </x:c>
      <x:c r="O25" s="54" t="n">
        <x:v>46206</x:v>
      </x:c>
      <x:c r="P25" s="50" t="str"/>
    </x:row>
    <x:row r="26" ht="66" customHeight="1">
      <x:c r="A26" s="50" t="str">
        <x:v>CHK-5.3-04</x:v>
      </x:c>
      <x:c r="B26" s="50" t="str">
        <x:v>5.3</x:v>
      </x:c>
      <x:c r="C26" s="50" t="str">
        <x:v>资料中心</x:v>
      </x:c>
      <x:c r="D26" s="50" t="str">
        <x:v>扫描PDF/OCR/版面分析</x:v>
      </x:c>
      <x:c r="E26" s="50" t="str">
        <x:v>识别扫描PDF、图片文字、表格和版面结构。</x:v>
      </x:c>
      <x:c r="F26" s="50" t="str">
        <x:v>未完成</x:v>
      </x:c>
      <x:c r="G26" s="52" t="n">
        <x:v>0</x:v>
      </x:c>
      <x:c r="H26" s="50" t="str">
        <x:v>未实现。</x:v>
      </x:c>
      <x:c r="I26" s="50" t="str">
        <x:v>扫描件无法进入正式事实抽取和引用链。</x:v>
      </x:c>
      <x:c r="J26" s="50" t="str">
        <x:v>扫描PDF可输出页码、文本块、表格结构、置信度和原图定位。</x:v>
      </x:c>
      <x:c r="K26" s="50" t="str">
        <x:v>P1</x:v>
      </x:c>
      <x:c r="L26" s="50" t="str">
        <x:v>一期必选</x:v>
      </x:c>
      <x:c r="M26" s="50" t="str">
        <x:v>PDD V1.2 第5章</x:v>
      </x:c>
      <x:c r="N26" s="50" t="str">
        <x:v>待分配</x:v>
      </x:c>
      <x:c r="O26" s="54" t="n">
        <x:v>46206</x:v>
      </x:c>
      <x:c r="P26" s="50" t="str"/>
    </x:row>
    <x:row r="27" ht="66" customHeight="1">
      <x:c r="A27" s="50" t="str">
        <x:v>CHK-5.3-05</x:v>
      </x:c>
      <x:c r="B27" s="50" t="str">
        <x:v>5.3</x:v>
      </x:c>
      <x:c r="C27" s="50" t="str">
        <x:v>资料中心</x:v>
      </x:c>
      <x:c r="D27" s="50" t="str">
        <x:v>不可变文件版本</x:v>
      </x:c>
      <x:c r="E27" s="50" t="str">
        <x:v>document 与 document_version 分离，维护当前有效版本。</x:v>
      </x:c>
      <x:c r="F27" s="50" t="str">
        <x:v>少量实现</x:v>
      </x:c>
      <x:c r="G27" s="52" t="n">
        <x:v>0.15</x:v>
      </x:c>
      <x:c r="H27" s="50" t="str">
        <x:v>文档有简单版本文本/状态概念。</x:v>
      </x:c>
      <x:c r="I27" s="50" t="str">
        <x:v>缺少物理文件不可变版本表、current_version_id、激活/失效流程。</x:v>
      </x:c>
      <x:c r="J27" s="50" t="str">
        <x:v>重复上传同名文件生成新版本；切换有效版本触发影响分析且旧版本可追溯。</x:v>
      </x:c>
      <x:c r="K27" s="50" t="str">
        <x:v>P0</x:v>
      </x:c>
      <x:c r="L27" s="50" t="str">
        <x:v>一期必选</x:v>
      </x:c>
      <x:c r="M27" s="50" t="str">
        <x:v>PDD V1.2 第5章</x:v>
      </x:c>
      <x:c r="N27" s="50" t="str">
        <x:v>待分配</x:v>
      </x:c>
      <x:c r="O27" s="54" t="n">
        <x:v>46206</x:v>
      </x:c>
      <x:c r="P27" s="50" t="str"/>
    </x:row>
    <x:row r="28" ht="66" customHeight="1">
      <x:c r="A28" s="50" t="str">
        <x:v>CHK-5.3-06</x:v>
      </x:c>
      <x:c r="B28" s="50" t="str">
        <x:v>5.3</x:v>
      </x:c>
      <x:c r="C28" s="50" t="str">
        <x:v>资料中心</x:v>
      </x:c>
      <x:c r="D28" s="50" t="str">
        <x:v>来源定位与预览</x:v>
      </x:c>
      <x:c r="E28" s="50" t="str">
        <x:v>解析结果保留页码、段落、表格单元格或区域定位，可回到原文。</x:v>
      </x:c>
      <x:c r="F28" s="50" t="str">
        <x:v>部分完成</x:v>
      </x:c>
      <x:c r="G28" s="52" t="n">
        <x:v>0.35</x:v>
      </x:c>
      <x:c r="H28" s="50" t="str">
        <x:v>有 document_chunk 与部分页/节信息。</x:v>
      </x:c>
      <x:c r="I28" s="50" t="str">
        <x:v>PDF/XLSX定位精度不足；无统一预览和锚点跳转。</x:v>
      </x:c>
      <x:c r="J28" s="50" t="str">
        <x:v>从事实/引用点击可定位到原文件页、段落或单元格区域。</x:v>
      </x:c>
      <x:c r="K28" s="50" t="str">
        <x:v>P1</x:v>
      </x:c>
      <x:c r="L28" s="50" t="str">
        <x:v>一期必选</x:v>
      </x:c>
      <x:c r="M28" s="50" t="str">
        <x:v>PDD V1.2 第5章</x:v>
      </x:c>
      <x:c r="N28" s="50" t="str">
        <x:v>待分配</x:v>
      </x:c>
      <x:c r="O28" s="54" t="n">
        <x:v>46206</x:v>
      </x:c>
      <x:c r="P28" s="50" t="str"/>
    </x:row>
    <x:row r="29" ht="66" customHeight="1">
      <x:c r="A29" s="50" t="str">
        <x:v>CHK-5.3-07</x:v>
      </x:c>
      <x:c r="B29" s="50" t="str">
        <x:v>5.3</x:v>
      </x:c>
      <x:c r="C29" s="50" t="str">
        <x:v>资料中心</x:v>
      </x:c>
      <x:c r="D29" s="50" t="str">
        <x:v>资料清单与缺失项</x:v>
      </x:c>
      <x:c r="E29" s="50" t="str">
        <x:v>根据模板生成必备/可选资料清单并跟踪缺失、待确认和不适用。</x:v>
      </x:c>
      <x:c r="F29" s="50" t="str">
        <x:v>未完成</x:v>
      </x:c>
      <x:c r="G29" s="52" t="n">
        <x:v>0</x:v>
      </x:c>
      <x:c r="H29" s="50" t="str">
        <x:v>未发现 required_material 业务闭环。</x:v>
      </x:c>
      <x:c r="I29" s="50" t="str">
        <x:v>项目无法量化资料完整度，也不能将缺失项转为任务。</x:v>
      </x:c>
      <x:c r="J29" s="50" t="str">
        <x:v>创建项目自动生成清单；上传资料可关联清单；缺失项可转待办。</x:v>
      </x:c>
      <x:c r="K29" s="50" t="str">
        <x:v>P1</x:v>
      </x:c>
      <x:c r="L29" s="50" t="str">
        <x:v>一期必选</x:v>
      </x:c>
      <x:c r="M29" s="50" t="str">
        <x:v>PDD V1.2 第5章</x:v>
      </x:c>
      <x:c r="N29" s="50" t="str">
        <x:v>待分配</x:v>
      </x:c>
      <x:c r="O29" s="54" t="n">
        <x:v>46206</x:v>
      </x:c>
      <x:c r="P29" s="50" t="str"/>
    </x:row>
    <x:row r="30" ht="66" customHeight="1">
      <x:c r="A30" s="50" t="str">
        <x:v>CHK-5.3-08</x:v>
      </x:c>
      <x:c r="B30" s="50" t="str">
        <x:v>5.3</x:v>
      </x:c>
      <x:c r="C30" s="50" t="str">
        <x:v>资料中心</x:v>
      </x:c>
      <x:c r="D30" s="50" t="str">
        <x:v>重复文件与哈希</x:v>
      </x:c>
      <x:c r="E30" s="50" t="str">
        <x:v>计算SHA256识别完全重复文件并提示近似版本。</x:v>
      </x:c>
      <x:c r="F30" s="50" t="str">
        <x:v>少量实现</x:v>
      </x:c>
      <x:c r="G30" s="52" t="n">
        <x:v>0.2</x:v>
      </x:c>
      <x:c r="H30" s="50" t="str">
        <x:v>对象存储流程具备部分文件元数据。</x:v>
      </x:c>
      <x:c r="I30" s="50" t="str">
        <x:v>未形成重复检测、近似版本提示和用户确认。</x:v>
      </x:c>
      <x:c r="J30" s="50" t="str">
        <x:v>重复文件上传时提示并避免重复存储；近似版本不自动合并。</x:v>
      </x:c>
      <x:c r="K30" s="50" t="str">
        <x:v>P2</x:v>
      </x:c>
      <x:c r="L30" s="50" t="str">
        <x:v>一期轻量</x:v>
      </x:c>
      <x:c r="M30" s="50" t="str">
        <x:v>PDD V1.2 第5章</x:v>
      </x:c>
      <x:c r="N30" s="50" t="str">
        <x:v>待分配</x:v>
      </x:c>
      <x:c r="O30" s="54" t="n">
        <x:v>46206</x:v>
      </x:c>
      <x:c r="P30" s="50" t="str"/>
    </x:row>
    <x:row r="31" ht="66" customHeight="1">
      <x:c r="A31" s="50" t="str">
        <x:v>CHK-5.3-09</x:v>
      </x:c>
      <x:c r="B31" s="50" t="str">
        <x:v>5.3</x:v>
      </x:c>
      <x:c r="C31" s="50" t="str">
        <x:v>资料中心</x:v>
      </x:c>
      <x:c r="D31" s="50" t="str">
        <x:v>上传安全控制</x:v>
      </x:c>
      <x:c r="E31" s="50" t="str">
        <x:v>配置大小、格式白名单、病毒扫描、敏感信息检测和脱敏副本。</x:v>
      </x:c>
      <x:c r="F31" s="50" t="str">
        <x:v>少量实现</x:v>
      </x:c>
      <x:c r="G31" s="52" t="n">
        <x:v>0.1</x:v>
      </x:c>
      <x:c r="H31" s="50" t="str">
        <x:v>存在基础上传接口。</x:v>
      </x:c>
      <x:c r="I31" s="50" t="str">
        <x:v>无白名单、病毒扫描、敏感识别和脱敏流程。</x:v>
      </x:c>
      <x:c r="J31" s="50" t="str">
        <x:v>恶意/超限文件被拒绝并记录；脱敏副本与原文件分离授权。</x:v>
      </x:c>
      <x:c r="K31" s="50" t="str">
        <x:v>P0</x:v>
      </x:c>
      <x:c r="L31" s="50" t="str">
        <x:v>一期必选</x:v>
      </x:c>
      <x:c r="M31" s="50" t="str">
        <x:v>PDD V1.2 第5章</x:v>
      </x:c>
      <x:c r="N31" s="50" t="str">
        <x:v>待分配</x:v>
      </x:c>
      <x:c r="O31" s="54" t="n">
        <x:v>46206</x:v>
      </x:c>
      <x:c r="P31" s="50" t="str"/>
    </x:row>
    <x:row r="32" ht="66" customHeight="1">
      <x:c r="A32" s="50" t="str">
        <x:v>CHK-5.3-10</x:v>
      </x:c>
      <x:c r="B32" s="50" t="str">
        <x:v>5.3</x:v>
      </x:c>
      <x:c r="C32" s="50" t="str">
        <x:v>资料中心</x:v>
      </x:c>
      <x:c r="D32" s="50" t="str">
        <x:v>解析任务重试、取消和版本</x:v>
      </x:c>
      <x:c r="E32" s="50" t="str">
        <x:v>记录解析器版本、进度、错误码、重试次数，支持重试/取消。</x:v>
      </x:c>
      <x:c r="F32" s="50" t="str">
        <x:v>部分完成</x:v>
      </x:c>
      <x:c r="G32" s="52" t="n">
        <x:v>0.3</x:v>
      </x:c>
      <x:c r="H32" s="50" t="str">
        <x:v>可提交解析任务并使用Celery。</x:v>
      </x:c>
      <x:c r="I32" s="50" t="str">
        <x:v>缺少解析器版本、细粒度进度、取消和标准错误码。</x:v>
      </x:c>
      <x:c r="J32" s="50" t="str">
        <x:v>失败任务可重试且保留原记录；更换解析器后可重新解析。</x:v>
      </x:c>
      <x:c r="K32" s="50" t="str">
        <x:v>P1</x:v>
      </x:c>
      <x:c r="L32" s="50" t="str">
        <x:v>一期必选</x:v>
      </x:c>
      <x:c r="M32" s="50" t="str">
        <x:v>PDD V1.2 第5章</x:v>
      </x:c>
      <x:c r="N32" s="50" t="str">
        <x:v>待分配</x:v>
      </x:c>
      <x:c r="O32" s="54" t="n">
        <x:v>46206</x:v>
      </x:c>
      <x:c r="P32" s="50" t="str"/>
    </x:row>
    <x:row r="33" ht="66" customHeight="1">
      <x:c r="A33" s="50" t="str">
        <x:v>CHK-5.3-11</x:v>
      </x:c>
      <x:c r="B33" s="50" t="str">
        <x:v>5.3</x:v>
      </x:c>
      <x:c r="C33" s="50" t="str">
        <x:v>资料中心</x:v>
      </x:c>
      <x:c r="D33" s="50" t="str">
        <x:v>权限一致性</x:v>
      </x:c>
      <x:c r="E33" s="50" t="str">
        <x:v>预览、下载、检索和生成上下文采用相同项目/资料权限。</x:v>
      </x:c>
      <x:c r="F33" s="50" t="str">
        <x:v>少量实现</x:v>
      </x:c>
      <x:c r="G33" s="52" t="n">
        <x:v>0.05</x:v>
      </x:c>
      <x:c r="H33" s="50" t="str">
        <x:v>未登录仍可访问多类读取及下载接口。</x:v>
      </x:c>
      <x:c r="I33" s="50" t="str">
        <x:v>资料权限未贯穿预览、RAG、下载和生成。</x:v>
      </x:c>
      <x:c r="J33" s="50" t="str">
        <x:v>无权限用户在四个入口均无法访问；下载记录真实用户和项目。</x:v>
      </x:c>
      <x:c r="K33" s="50" t="str">
        <x:v>P0</x:v>
      </x:c>
      <x:c r="L33" s="50" t="str">
        <x:v>一期必选</x:v>
      </x:c>
      <x:c r="M33" s="50" t="str">
        <x:v>PDD V1.2 第5章</x:v>
      </x:c>
      <x:c r="N33" s="50" t="str">
        <x:v>待分配</x:v>
      </x:c>
      <x:c r="O33" s="54" t="n">
        <x:v>46206</x:v>
      </x:c>
      <x:c r="P33" s="50" t="str"/>
    </x:row>
    <x:row r="34" ht="66" customHeight="1">
      <x:c r="A34" s="50" t="str">
        <x:v>CHK-5.3-12</x:v>
      </x:c>
      <x:c r="B34" s="50" t="str">
        <x:v>5.3</x:v>
      </x:c>
      <x:c r="C34" s="50" t="str">
        <x:v>资料中心</x:v>
      </x:c>
      <x:c r="D34" s="50" t="str">
        <x:v>逻辑删除与保留策略</x:v>
      </x:c>
      <x:c r="E34" s="50" t="str">
        <x:v>默认逻辑删除，物理清理需审批并遵循保留策略。</x:v>
      </x:c>
      <x:c r="F34" s="50" t="str">
        <x:v>少量实现</x:v>
      </x:c>
      <x:c r="G34" s="52" t="n">
        <x:v>0.2</x:v>
      </x:c>
      <x:c r="H34" s="50" t="str">
        <x:v>部分对象有状态字段。</x:v>
      </x:c>
      <x:c r="I34" s="50" t="str">
        <x:v>未形成删除审批、恢复和物理清理策略。</x:v>
      </x:c>
      <x:c r="J34" s="50" t="str">
        <x:v>删除后业务不可见但历史引用仍可访问；物理清理由管理员审批执行。</x:v>
      </x:c>
      <x:c r="K34" s="50" t="str">
        <x:v>P2</x:v>
      </x:c>
      <x:c r="L34" s="50" t="str">
        <x:v>后续阶段</x:v>
      </x:c>
      <x:c r="M34" s="50" t="str">
        <x:v>PDD V1.2 第5章</x:v>
      </x:c>
      <x:c r="N34" s="50" t="str">
        <x:v>待分配</x:v>
      </x:c>
      <x:c r="O34" s="54" t="n">
        <x:v>46206</x:v>
      </x:c>
      <x:c r="P34" s="50" t="str"/>
    </x:row>
    <x:row r="35" ht="66" customHeight="1">
      <x:c r="A35" s="50" t="str">
        <x:v>CHK-5.4-01</x:v>
      </x:c>
      <x:c r="B35" s="50" t="str">
        <x:v>5.4</x:v>
      </x:c>
      <x:c r="C35" s="50" t="str">
        <x:v>事实与指标</x:v>
      </x:c>
      <x:c r="D35" s="50" t="str">
        <x:v>事实定义库</x:v>
      </x:c>
      <x:c r="E35" s="50" t="str">
        <x:v>配置字段编码、类型、单位、精度、必填和校验规则。</x:v>
      </x:c>
      <x:c r="F35" s="50" t="str">
        <x:v>少量实现</x:v>
      </x:c>
      <x:c r="G35" s="52" t="n">
        <x:v>0.25</x:v>
      </x:c>
      <x:c r="H35" s="50" t="str">
        <x:v>存在基础事实数据结构和预置事实。</x:v>
      </x:c>
      <x:c r="I35" s="50" t="str">
        <x:v>定义、版本、口径和校验配置不完整。</x:v>
      </x:c>
      <x:c r="J35" s="50" t="str">
        <x:v>新增任务包可通过配置增加事实字段，无需修改后端代码。</x:v>
      </x:c>
      <x:c r="K35" s="50" t="str">
        <x:v>P1</x:v>
      </x:c>
      <x:c r="L35" s="50" t="str">
        <x:v>一期必选</x:v>
      </x:c>
      <x:c r="M35" s="50" t="str">
        <x:v>PDD V1.2 第5章</x:v>
      </x:c>
      <x:c r="N35" s="50" t="str">
        <x:v>待分配</x:v>
      </x:c>
      <x:c r="O35" s="54" t="n">
        <x:v>46206</x:v>
      </x:c>
      <x:c r="P35" s="50" t="str"/>
    </x:row>
    <x:row r="36" ht="66" customHeight="1">
      <x:c r="A36" s="50" t="str">
        <x:v>CHK-5.4-02</x:v>
      </x:c>
      <x:c r="B36" s="50" t="str">
        <x:v>5.4</x:v>
      </x:c>
      <x:c r="C36" s="50" t="str">
        <x:v>事实与指标</x:v>
      </x:c>
      <x:c r="D36" s="50" t="str">
        <x:v>自动事实候选抽取</x:v>
      </x:c>
      <x:c r="E36" s="50" t="str">
        <x:v>基于有效解析资料自动抽取并归一化事实候选。</x:v>
      </x:c>
      <x:c r="F36" s="50" t="str">
        <x:v>未完成</x:v>
      </x:c>
      <x:c r="G36" s="52" t="n">
        <x:v>0</x:v>
      </x:c>
      <x:c r="H36" s="50" t="str">
        <x:v>解析后不会自动生成 FactItem 候选。</x:v>
      </x:c>
      <x:c r="I36" s="50" t="str">
        <x:v>一期核心闭环中断，验收依赖预置事实。</x:v>
      </x:c>
      <x:c r="J36" s="50" t="str">
        <x:v>上传样例资料后系统自动产生候选、来源位置、置信度和抽取器版本。</x:v>
      </x:c>
      <x:c r="K36" s="50" t="str">
        <x:v>P0</x:v>
      </x:c>
      <x:c r="L36" s="50" t="str">
        <x:v>一期必选</x:v>
      </x:c>
      <x:c r="M36" s="50" t="str">
        <x:v>PDD V1.2 第5章</x:v>
      </x:c>
      <x:c r="N36" s="50" t="str">
        <x:v>待分配</x:v>
      </x:c>
      <x:c r="O36" s="54" t="n">
        <x:v>46206</x:v>
      </x:c>
      <x:c r="P36" s="50" t="str"/>
    </x:row>
    <x:row r="37" ht="66" customHeight="1">
      <x:c r="A37" s="50" t="str">
        <x:v>CHK-5.4-03</x:v>
      </x:c>
      <x:c r="B37" s="50" t="str">
        <x:v>5.4</x:v>
      </x:c>
      <x:c r="C37" s="50" t="str">
        <x:v>事实与指标</x:v>
      </x:c>
      <x:c r="D37" s="50" t="str">
        <x:v>候选值与来源管理</x:v>
      </x:c>
      <x:c r="E37" s="50" t="str">
        <x:v>保存多个候选值、来源类型/版本/位置和置信度，不覆盖确认值。</x:v>
      </x:c>
      <x:c r="F37" s="50" t="str">
        <x:v>少量实现</x:v>
      </x:c>
      <x:c r="G37" s="52" t="n">
        <x:v>0.15</x:v>
      </x:c>
      <x:c r="H37" s="50" t="str">
        <x:v>有事实来源和冲突概念。</x:v>
      </x:c>
      <x:c r="I37" s="50" t="str">
        <x:v>缺少独立 fact_candidate 模型和候选生命周期。</x:v>
      </x:c>
      <x:c r="J37" s="50" t="str">
        <x:v>同一字段从多份资料抽取多个候选，可并列比较并保留全部来源。</x:v>
      </x:c>
      <x:c r="K37" s="50" t="str">
        <x:v>P0</x:v>
      </x:c>
      <x:c r="L37" s="50" t="str">
        <x:v>一期必选</x:v>
      </x:c>
      <x:c r="M37" s="50" t="str">
        <x:v>PDD V1.2 第5章</x:v>
      </x:c>
      <x:c r="N37" s="50" t="str">
        <x:v>待分配</x:v>
      </x:c>
      <x:c r="O37" s="54" t="n">
        <x:v>46206</x:v>
      </x:c>
      <x:c r="P37" s="50" t="str"/>
    </x:row>
    <x:row r="38" ht="66" customHeight="1">
      <x:c r="A38" s="50" t="str">
        <x:v>CHK-5.4-04</x:v>
      </x:c>
      <x:c r="B38" s="50" t="str">
        <x:v>5.4</x:v>
      </x:c>
      <x:c r="C38" s="50" t="str">
        <x:v>事实与指标</x:v>
      </x:c>
      <x:c r="D38" s="50" t="str">
        <x:v>人工确认、修改和冲突处理</x:v>
      </x:c>
      <x:c r="E38" s="50" t="str">
        <x:v>支持确认候选、人工录入、选择有效值、保留多口径和驳回。</x:v>
      </x:c>
      <x:c r="F38" s="50" t="str">
        <x:v>部分完成</x:v>
      </x:c>
      <x:c r="G38" s="52" t="n">
        <x:v>0.65</x:v>
      </x:c>
      <x:c r="H38" s="50" t="str">
        <x:v>已有事实列表、修改、确认、冲突处理入口。</x:v>
      </x:c>
      <x:c r="I38" s="50" t="str">
        <x:v>确认人/时间、无来源说明、多口径和权限控制不足。</x:v>
      </x:c>
      <x:c r="J38" s="50" t="str">
        <x:v>确认动作记录真实用户、时间和来源；冲突处理形成可审计结论。</x:v>
      </x:c>
      <x:c r="K38" s="50" t="str">
        <x:v>P1</x:v>
      </x:c>
      <x:c r="L38" s="50" t="str">
        <x:v>一期必选</x:v>
      </x:c>
      <x:c r="M38" s="50" t="str">
        <x:v>PDD V1.2 第5章</x:v>
      </x:c>
      <x:c r="N38" s="50" t="str">
        <x:v>待分配</x:v>
      </x:c>
      <x:c r="O38" s="54" t="n">
        <x:v>46206</x:v>
      </x:c>
      <x:c r="P38" s="50" t="str"/>
    </x:row>
    <x:row r="39" ht="66" customHeight="1">
      <x:c r="A39" s="50" t="str">
        <x:v>CHK-5.4-05</x:v>
      </x:c>
      <x:c r="B39" s="50" t="str">
        <x:v>5.4</x:v>
      </x:c>
      <x:c r="C39" s="50" t="str">
        <x:v>事实与指标</x:v>
      </x:c>
      <x:c r="D39" s="50" t="str">
        <x:v>事实锁定与后端强制约束</x:v>
      </x:c>
      <x:c r="E39" s="50" t="str">
        <x:v>已确认且无冲突的事实可锁定；锁定后禁止直接更新。</x:v>
      </x:c>
      <x:c r="F39" s="50" t="str">
        <x:v>部分完成</x:v>
      </x:c>
      <x:c r="G39" s="52" t="n">
        <x:v>0.3</x:v>
      </x:c>
      <x:c r="H39" s="50" t="str">
        <x:v>已有锁定状态和入口。</x:v>
      </x:c>
      <x:c r="I39" s="50" t="str">
        <x:v>后端仍可直接修改已锁定事实。</x:v>
      </x:c>
      <x:c r="J39" s="50" t="str">
        <x:v>锁定事实普通更新返回冲突；只能通过变更申请审批后生成新版本。</x:v>
      </x:c>
      <x:c r="K39" s="50" t="str">
        <x:v>P0</x:v>
      </x:c>
      <x:c r="L39" s="50" t="str">
        <x:v>一期必选</x:v>
      </x:c>
      <x:c r="M39" s="50" t="str">
        <x:v>PDD V1.2 第5章</x:v>
      </x:c>
      <x:c r="N39" s="50" t="str">
        <x:v>待分配</x:v>
      </x:c>
      <x:c r="O39" s="54" t="n">
        <x:v>46206</x:v>
      </x:c>
      <x:c r="P39" s="50" t="str"/>
    </x:row>
    <x:row r="40" ht="66" customHeight="1">
      <x:c r="A40" s="50" t="str">
        <x:v>CHK-5.4-06</x:v>
      </x:c>
      <x:c r="B40" s="50" t="str">
        <x:v>5.4</x:v>
      </x:c>
      <x:c r="C40" s="50" t="str">
        <x:v>事实与指标</x:v>
      </x:c>
      <x:c r="D40" s="50" t="str">
        <x:v>单位与数值归一化</x:v>
      </x:c>
      <x:c r="E40" s="50" t="str">
        <x:v>保存原始值、标准值、单位、精度和展示格式。</x:v>
      </x:c>
      <x:c r="F40" s="50" t="str">
        <x:v>少量实现</x:v>
      </x:c>
      <x:c r="G40" s="52" t="n">
        <x:v>0.2</x:v>
      </x:c>
      <x:c r="H40" s="50" t="str">
        <x:v>存在部分数值字段及简单异常检查。</x:v>
      </x:c>
      <x:c r="I40" s="50" t="str">
        <x:v>缺少单位换算、精度、口径和标准化校验。</x:v>
      </x:c>
      <x:c r="J40" s="50" t="str">
        <x:v>输入不同单位可归一到标准单位；正式输出按模板格式显示且计算值不丢精度。</x:v>
      </x:c>
      <x:c r="K40" s="50" t="str">
        <x:v>P1</x:v>
      </x:c>
      <x:c r="L40" s="50" t="str">
        <x:v>一期必选</x:v>
      </x:c>
      <x:c r="M40" s="50" t="str">
        <x:v>PDD V1.2 第5章</x:v>
      </x:c>
      <x:c r="N40" s="50" t="str">
        <x:v>待分配</x:v>
      </x:c>
      <x:c r="O40" s="54" t="n">
        <x:v>46206</x:v>
      </x:c>
      <x:c r="P40" s="50" t="str"/>
    </x:row>
    <x:row r="41" ht="66" customHeight="1">
      <x:c r="A41" s="50" t="str">
        <x:v>CHK-5.4-07</x:v>
      </x:c>
      <x:c r="B41" s="50" t="str">
        <x:v>5.4</x:v>
      </x:c>
      <x:c r="C41" s="50" t="str">
        <x:v>事实与指标</x:v>
      </x:c>
      <x:c r="D41" s="50" t="str">
        <x:v>事实来源追溯</x:v>
      </x:c>
      <x:c r="E41" s="50" t="str">
        <x:v>事实可回溯至文件版本、页码/段落/单元格及人工说明。</x:v>
      </x:c>
      <x:c r="F41" s="50" t="str">
        <x:v>部分完成</x:v>
      </x:c>
      <x:c r="G41" s="52" t="n">
        <x:v>0.5</x:v>
      </x:c>
      <x:c r="H41" s="50" t="str">
        <x:v>章节引用可关联事实和文档分块。</x:v>
      </x:c>
      <x:c r="I41" s="50" t="str">
        <x:v>解析定位精度和候选抽取链不完整。</x:v>
      </x:c>
      <x:c r="J41" s="50" t="str">
        <x:v>从事实详情一键定位原文；来源文件失效时标记 source_invalid。</x:v>
      </x:c>
      <x:c r="K41" s="50" t="str">
        <x:v>P1</x:v>
      </x:c>
      <x:c r="L41" s="50" t="str">
        <x:v>一期必选</x:v>
      </x:c>
      <x:c r="M41" s="50" t="str">
        <x:v>PDD V1.2 第5章</x:v>
      </x:c>
      <x:c r="N41" s="50" t="str">
        <x:v>待分配</x:v>
      </x:c>
      <x:c r="O41" s="54" t="n">
        <x:v>46206</x:v>
      </x:c>
      <x:c r="P41" s="50" t="str"/>
    </x:row>
    <x:row r="42" ht="66" customHeight="1">
      <x:c r="A42" s="50" t="str">
        <x:v>CHK-5.4-08</x:v>
      </x:c>
      <x:c r="B42" s="50" t="str">
        <x:v>5.4</x:v>
      </x:c>
      <x:c r="C42" s="50" t="str">
        <x:v>事实与指标</x:v>
      </x:c>
      <x:c r="D42" s="50" t="str">
        <x:v>多口径事实</x:v>
      </x:c>
      <x:c r="E42" s="50" t="str">
        <x:v>同一字段可按地上/地下/总量等维度保存多个口径。</x:v>
      </x:c>
      <x:c r="F42" s="50" t="str">
        <x:v>少量实现</x:v>
      </x:c>
      <x:c r="G42" s="52" t="n">
        <x:v>0.1</x:v>
      </x:c>
      <x:c r="H42" s="50" t="str">
        <x:v>未发现正式口径维度模型。</x:v>
      </x:c>
      <x:c r="I42" s="50" t="str">
        <x:v>简单单值结构难以支撑专业指标。</x:v>
      </x:c>
      <x:c r="J42" s="50" t="str">
        <x:v>模板可明确绑定口径；冲突检查不会把合法多口径误判为冲突。</x:v>
      </x:c>
      <x:c r="K42" s="50" t="str">
        <x:v>P2</x:v>
      </x:c>
      <x:c r="L42" s="50" t="str">
        <x:v>一期轻量</x:v>
      </x:c>
      <x:c r="M42" s="50" t="str">
        <x:v>PDD V1.2 第5章</x:v>
      </x:c>
      <x:c r="N42" s="50" t="str">
        <x:v>待分配</x:v>
      </x:c>
      <x:c r="O42" s="54" t="n">
        <x:v>46206</x:v>
      </x:c>
      <x:c r="P42" s="50" t="str"/>
    </x:row>
    <x:row r="43" ht="66" customHeight="1">
      <x:c r="A43" s="50" t="str">
        <x:v>CHK-5.4-09</x:v>
      </x:c>
      <x:c r="B43" s="50" t="str">
        <x:v>5.4</x:v>
      </x:c>
      <x:c r="C43" s="50" t="str">
        <x:v>事实与指标</x:v>
      </x:c>
      <x:c r="D43" s="50" t="str">
        <x:v>锁定变更申请与审批</x:v>
      </x:c>
      <x:c r="E43" s="50" t="str">
        <x:v>变更锁定事实需填写原因、来源、影响并经指定人审批。</x:v>
      </x:c>
      <x:c r="F43" s="50" t="str">
        <x:v>未完成</x:v>
      </x:c>
      <x:c r="G43" s="52" t="n">
        <x:v>0</x:v>
      </x:c>
      <x:c r="H43" s="50" t="str">
        <x:v>未实现 fact_change_request。</x:v>
      </x:c>
      <x:c r="I43" s="50" t="str">
        <x:v>无法控制正式事实变更责任。</x:v>
      </x:c>
      <x:c r="J43" s="50" t="str">
        <x:v>发起申请后旧值继续有效；批准后生成新版本、记录审批并触发重检。</x:v>
      </x:c>
      <x:c r="K43" s="50" t="str">
        <x:v>P0</x:v>
      </x:c>
      <x:c r="L43" s="50" t="str">
        <x:v>一期必选</x:v>
      </x:c>
      <x:c r="M43" s="50" t="str">
        <x:v>PDD V1.2 第5章</x:v>
      </x:c>
      <x:c r="N43" s="50" t="str">
        <x:v>待分配</x:v>
      </x:c>
      <x:c r="O43" s="54" t="n">
        <x:v>46206</x:v>
      </x:c>
      <x:c r="P43" s="50" t="str"/>
    </x:row>
    <x:row r="44" ht="66" customHeight="1">
      <x:c r="A44" s="50" t="str">
        <x:v>CHK-5.4-10</x:v>
      </x:c>
      <x:c r="B44" s="50" t="str">
        <x:v>5.4</x:v>
      </x:c>
      <x:c r="C44" s="50" t="str">
        <x:v>事实与指标</x:v>
      </x:c>
      <x:c r="D44" s="50" t="str">
        <x:v>影响分析与过期标记</x:v>
      </x:c>
      <x:c r="E44" s="50" t="str">
        <x:v>事实变更定位章节、表格、计算、方案和成果并标记 stale。</x:v>
      </x:c>
      <x:c r="F44" s="50" t="str">
        <x:v>未完成</x:v>
      </x:c>
      <x:c r="G44" s="52" t="n">
        <x:v>0</x:v>
      </x:c>
      <x:c r="H44" s="50" t="str">
        <x:v>未实现 fact_dependency。</x:v>
      </x:c>
      <x:c r="I44" s="50" t="str">
        <x:v>事实变化不会自动使计算、章节和成果过期。</x:v>
      </x:c>
      <x:c r="J44" s="50" t="str">
        <x:v>修改事实后依赖对象出现待刷新提示；发布门禁阻止使用过期对象。</x:v>
      </x:c>
      <x:c r="K44" s="50" t="str">
        <x:v>P1</x:v>
      </x:c>
      <x:c r="L44" s="50" t="str">
        <x:v>一期必选</x:v>
      </x:c>
      <x:c r="M44" s="50" t="str">
        <x:v>PDD V1.2 第5章</x:v>
      </x:c>
      <x:c r="N44" s="50" t="str">
        <x:v>待分配</x:v>
      </x:c>
      <x:c r="O44" s="54" t="n">
        <x:v>46206</x:v>
      </x:c>
      <x:c r="P44" s="50" t="str"/>
    </x:row>
    <x:row r="45" ht="66" customHeight="1">
      <x:c r="A45" s="50" t="str">
        <x:v>CHK-5.4-11</x:v>
      </x:c>
      <x:c r="B45" s="50" t="str">
        <x:v>5.4</x:v>
      </x:c>
      <x:c r="C45" s="50" t="str">
        <x:v>事实与指标</x:v>
      </x:c>
      <x:c r="D45" s="50" t="str">
        <x:v>批量导入导出</x:v>
      </x:c>
      <x:c r="E45" s="50" t="str">
        <x:v>按模板批量导入事实，逐行校验并预览差异。</x:v>
      </x:c>
      <x:c r="F45" s="50" t="str">
        <x:v>未完成</x:v>
      </x:c>
      <x:c r="G45" s="52" t="n">
        <x:v>0</x:v>
      </x:c>
      <x:c r="H45" s="50" t="str">
        <x:v>未发现完整导入导出流程。</x:v>
      </x:c>
      <x:c r="I45" s="50" t="str">
        <x:v>大量指标录入效率低且错误难追踪。</x:v>
      </x:c>
      <x:c r="J45" s="50" t="str">
        <x:v>导入前展示成功/失败明细；模板版本不匹配时禁止直接写入。</x:v>
      </x:c>
      <x:c r="K45" s="50" t="str">
        <x:v>P2</x:v>
      </x:c>
      <x:c r="L45" s="50" t="str">
        <x:v>一期轻量</x:v>
      </x:c>
      <x:c r="M45" s="50" t="str">
        <x:v>PDD V1.2 第5章</x:v>
      </x:c>
      <x:c r="N45" s="50" t="str">
        <x:v>待分配</x:v>
      </x:c>
      <x:c r="O45" s="54" t="n">
        <x:v>46206</x:v>
      </x:c>
      <x:c r="P45" s="50" t="str"/>
    </x:row>
    <x:row r="46" ht="66" customHeight="1">
      <x:c r="A46" s="50" t="str">
        <x:v>CHK-5.4-12</x:v>
      </x:c>
      <x:c r="B46" s="50" t="str">
        <x:v>5.4</x:v>
      </x:c>
      <x:c r="C46" s="50" t="str">
        <x:v>事实与指标</x:v>
      </x:c>
      <x:c r="D46" s="50" t="str">
        <x:v>事实版本历史</x:v>
      </x:c>
      <x:c r="E46" s="50" t="str">
        <x:v>保留每次确认、修改、锁定和审批后的不可变版本。</x:v>
      </x:c>
      <x:c r="F46" s="50" t="str">
        <x:v>未完成</x:v>
      </x:c>
      <x:c r="G46" s="52" t="n">
        <x:v>0</x:v>
      </x:c>
      <x:c r="H46" s="50" t="str">
        <x:v>无事实版本历史。</x:v>
      </x:c>
      <x:c r="I46" s="50" t="str">
        <x:v>不能支撑审计、回滚和发布快照。</x:v>
      </x:c>
      <x:c r="J46" s="50" t="str">
        <x:v>事实详情可查看时间线和差异；发布成果绑定确定事实快照。</x:v>
      </x:c>
      <x:c r="K46" s="50" t="str">
        <x:v>P0</x:v>
      </x:c>
      <x:c r="L46" s="50" t="str">
        <x:v>一期必选</x:v>
      </x:c>
      <x:c r="M46" s="50" t="str">
        <x:v>PDD V1.2 第5章</x:v>
      </x:c>
      <x:c r="N46" s="50" t="str">
        <x:v>待分配</x:v>
      </x:c>
      <x:c r="O46" s="54" t="n">
        <x:v>46206</x:v>
      </x:c>
      <x:c r="P46" s="50" t="str"/>
    </x:row>
    <x:row r="47" ht="66" customHeight="1">
      <x:c r="A47" s="50" t="str">
        <x:v>CHK-5.5-01</x:v>
      </x:c>
      <x:c r="B47" s="50" t="str">
        <x:v>5.5</x:v>
      </x:c>
      <x:c r="C47" s="50" t="str">
        <x:v>模板与知识</x:v>
      </x:c>
      <x:c r="D47" s="50" t="str">
        <x:v>至少两类报告模板</x:v>
      </x:c>
      <x:c r="E47" s="50" t="str">
        <x:v>提供可研报告和项目建议书等模板。</x:v>
      </x:c>
      <x:c r="F47" s="50" t="str">
        <x:v>部分完成</x:v>
      </x:c>
      <x:c r="G47" s="52" t="n">
        <x:v>0.5</x:v>
      </x:c>
      <x:c r="H47" s="50" t="str">
        <x:v>已提供两类 Markdown 大纲。</x:v>
      </x:c>
      <x:c r="I47" s="50" t="str">
        <x:v>属于目录式大纲，尚非正式可发布模板。</x:v>
      </x:c>
      <x:c r="J47" s="50" t="str">
        <x:v>模板能生成完整目录、字段、表格、样式和输出文件，并通过样例回放。</x:v>
      </x:c>
      <x:c r="K47" s="50" t="str">
        <x:v>P1</x:v>
      </x:c>
      <x:c r="L47" s="50" t="str">
        <x:v>一期必选</x:v>
      </x:c>
      <x:c r="M47" s="50" t="str">
        <x:v>PDD V1.2 第5章</x:v>
      </x:c>
      <x:c r="N47" s="50" t="str">
        <x:v>待分配</x:v>
      </x:c>
      <x:c r="O47" s="54" t="n">
        <x:v>46206</x:v>
      </x:c>
      <x:c r="P47" s="50" t="str"/>
    </x:row>
    <x:row r="48" ht="66" customHeight="1">
      <x:c r="A48" s="50" t="str">
        <x:v>CHK-5.5-02</x:v>
      </x:c>
      <x:c r="B48" s="50" t="str">
        <x:v>5.5</x:v>
      </x:c>
      <x:c r="C48" s="50" t="str">
        <x:v>模板与知识</x:v>
      </x:c>
      <x:c r="D48" s="50" t="str">
        <x:v>模板版本与发布状态</x:v>
      </x:c>
      <x:c r="E48" s="50" t="str">
        <x:v>模板支持草稿、审核、发布、停用；发布后不可编辑。</x:v>
      </x:c>
      <x:c r="F48" s="50" t="str">
        <x:v>少量实现</x:v>
      </x:c>
      <x:c r="G48" s="52" t="n">
        <x:v>0.2</x:v>
      </x:c>
      <x:c r="H48" s="50" t="str">
        <x:v>存在模板列表/元数据。</x:v>
      </x:c>
      <x:c r="I48" s="50" t="str">
        <x:v>缺少正式版本冻结、发布审批和停用流程。</x:v>
      </x:c>
      <x:c r="J48" s="50" t="str">
        <x:v>发布模板生成不可变版本；项目绑定具体版本；修改产生新版本。</x:v>
      </x:c>
      <x:c r="K48" s="50" t="str">
        <x:v>P1</x:v>
      </x:c>
      <x:c r="L48" s="50" t="str">
        <x:v>一期必选</x:v>
      </x:c>
      <x:c r="M48" s="50" t="str">
        <x:v>PDD V1.2 第5章</x:v>
      </x:c>
      <x:c r="N48" s="50" t="str">
        <x:v>待分配</x:v>
      </x:c>
      <x:c r="O48" s="54" t="n">
        <x:v>46206</x:v>
      </x:c>
      <x:c r="P48" s="50" t="str"/>
    </x:row>
    <x:row r="49" ht="66" customHeight="1">
      <x:c r="A49" s="50" t="str">
        <x:v>CHK-5.5-03</x:v>
      </x:c>
      <x:c r="B49" s="50" t="str">
        <x:v>5.5</x:v>
      </x:c>
      <x:c r="C49" s="50" t="str">
        <x:v>模板与知识</x:v>
      </x:c>
      <x:c r="D49" s="50" t="str">
        <x:v>模板设计器</x:v>
      </x:c>
      <x:c r="E49" s="50" t="str">
        <x:v>配置目录树、章节指令、字段绑定、表格、规则和资料清单。</x:v>
      </x:c>
      <x:c r="F49" s="50" t="str">
        <x:v>少量实现</x:v>
      </x:c>
      <x:c r="G49" s="52" t="n">
        <x:v>0.1</x:v>
      </x:c>
      <x:c r="H49" s="50" t="str">
        <x:v>报告大纲文件可表达章节。</x:v>
      </x:c>
      <x:c r="I49" s="50" t="str">
        <x:v>没有可视化设计器和完整配置模型。</x:v>
      </x:c>
      <x:c r="J49" s="50" t="str">
        <x:v>无需改代码即可调整章节、顺序、必填字段、表格和规则。</x:v>
      </x:c>
      <x:c r="K49" s="50" t="str">
        <x:v>P2</x:v>
      </x:c>
      <x:c r="L49" s="50" t="str">
        <x:v>后续阶段</x:v>
      </x:c>
      <x:c r="M49" s="50" t="str">
        <x:v>PDD V1.2 第5章</x:v>
      </x:c>
      <x:c r="N49" s="50" t="str">
        <x:v>待分配</x:v>
      </x:c>
      <x:c r="O49" s="54" t="n">
        <x:v>46206</x:v>
      </x:c>
      <x:c r="P49" s="50" t="str"/>
    </x:row>
    <x:row r="50" ht="66" customHeight="1">
      <x:c r="A50" s="50" t="str">
        <x:v>CHK-5.5-04</x:v>
      </x:c>
      <x:c r="B50" s="50" t="str">
        <x:v>5.5</x:v>
      </x:c>
      <x:c r="C50" s="50" t="str">
        <x:v>模板与知识</x:v>
      </x:c>
      <x:c r="D50" s="50" t="str">
        <x:v>事实/计算/图表绑定</x:v>
      </x:c>
      <x:c r="E50" s="50" t="str">
        <x:v>模板章节明确绑定事实、计算结果、GIS图表和输出格式。</x:v>
      </x:c>
      <x:c r="F50" s="50" t="str">
        <x:v>少量实现</x:v>
      </x:c>
      <x:c r="G50" s="52" t="n">
        <x:v>0.1</x:v>
      </x:c>
      <x:c r="H50" s="50" t="str">
        <x:v>章节引用能关联部分事实。</x:v>
      </x:c>
      <x:c r="I50" s="50" t="str">
        <x:v>缺少统一 binding_path、格式和刷新机制。</x:v>
      </x:c>
      <x:c r="J50" s="50" t="str">
        <x:v>源数据变化后绑定节点标记待刷新；模板渲染可稳定取值。</x:v>
      </x:c>
      <x:c r="K50" s="50" t="str">
        <x:v>P1</x:v>
      </x:c>
      <x:c r="L50" s="50" t="str">
        <x:v>一期必选</x:v>
      </x:c>
      <x:c r="M50" s="50" t="str">
        <x:v>PDD V1.2 第5章</x:v>
      </x:c>
      <x:c r="N50" s="50" t="str">
        <x:v>待分配</x:v>
      </x:c>
      <x:c r="O50" s="54" t="n">
        <x:v>46206</x:v>
      </x:c>
      <x:c r="P50" s="50" t="str"/>
    </x:row>
    <x:row r="51" ht="66" customHeight="1">
      <x:c r="A51" s="50" t="str">
        <x:v>CHK-5.5-05</x:v>
      </x:c>
      <x:c r="B51" s="50" t="str">
        <x:v>5.5</x:v>
      </x:c>
      <x:c r="C51" s="50" t="str">
        <x:v>模板与知识</x:v>
      </x:c>
      <x:c r="D51" s="50" t="str">
        <x:v>模板资料清单、规则和样式</x:v>
      </x:c>
      <x:c r="E51" s="50" t="str">
        <x:v>模板包含资料清单、质量规则和Word/PPT/Excel输出样式。</x:v>
      </x:c>
      <x:c r="F51" s="50" t="str">
        <x:v>少量实现</x:v>
      </x:c>
      <x:c r="G51" s="52" t="n">
        <x:v>0.1</x:v>
      </x:c>
      <x:c r="H51" s="50" t="str">
        <x:v>存在基础目录和少量硬编码规则。</x:v>
      </x:c>
      <x:c r="I51" s="50" t="str">
        <x:v>资料清单、规则、样式未随模板版本配置。</x:v>
      </x:c>
      <x:c r="J51" s="50" t="str">
        <x:v>切换模板后清单、规则和输出样式同步变化且可追溯版本。</x:v>
      </x:c>
      <x:c r="K51" s="50" t="str">
        <x:v>P1</x:v>
      </x:c>
      <x:c r="L51" s="50" t="str">
        <x:v>一期必选</x:v>
      </x:c>
      <x:c r="M51" s="50" t="str">
        <x:v>PDD V1.2 第5章</x:v>
      </x:c>
      <x:c r="N51" s="50" t="str">
        <x:v>待分配</x:v>
      </x:c>
      <x:c r="O51" s="54" t="n">
        <x:v>46206</x:v>
      </x:c>
      <x:c r="P51" s="50" t="str"/>
    </x:row>
    <x:row r="52" ht="66" customHeight="1">
      <x:c r="A52" s="50" t="str">
        <x:v>CHK-5.5-06</x:v>
      </x:c>
      <x:c r="B52" s="50" t="str">
        <x:v>5.5</x:v>
      </x:c>
      <x:c r="C52" s="50" t="str">
        <x:v>模板与知识</x:v>
      </x:c>
      <x:c r="D52" s="50" t="str">
        <x:v>知识源元数据</x:v>
      </x:c>
      <x:c r="E52" s="50" t="str">
        <x:v>记录来源、发布机构、日期、有效期、授权和可见范围。</x:v>
      </x:c>
      <x:c r="F52" s="50" t="str">
        <x:v>部分完成</x:v>
      </x:c>
      <x:c r="G52" s="52" t="n">
        <x:v>0.35</x:v>
      </x:c>
      <x:c r="H52" s="50" t="str">
        <x:v>知识条目具备标题、分类、来源和状态。</x:v>
      </x:c>
      <x:c r="I52" s="50" t="str">
        <x:v>无正文、版本、授权范围和有效期。</x:v>
      </x:c>
      <x:c r="J52" s="50" t="str">
        <x:v>知识详情展示原文位置、发布/生效/失效时间和授权状态。</x:v>
      </x:c>
      <x:c r="K52" s="50" t="str">
        <x:v>P1</x:v>
      </x:c>
      <x:c r="L52" s="50" t="str">
        <x:v>一期必选</x:v>
      </x:c>
      <x:c r="M52" s="50" t="str">
        <x:v>PDD V1.2 第5章</x:v>
      </x:c>
      <x:c r="N52" s="50" t="str">
        <x:v>待分配</x:v>
      </x:c>
      <x:c r="O52" s="54" t="n">
        <x:v>46206</x:v>
      </x:c>
      <x:c r="P52" s="50" t="str"/>
    </x:row>
    <x:row r="53" ht="66" customHeight="1">
      <x:c r="A53" s="50" t="str">
        <x:v>CHK-5.5-07</x:v>
      </x:c>
      <x:c r="B53" s="50" t="str">
        <x:v>5.5</x:v>
      </x:c>
      <x:c r="C53" s="50" t="str">
        <x:v>模板与知识</x:v>
      </x:c>
      <x:c r="D53" s="50" t="str">
        <x:v>知识正文、版本和权限</x:v>
      </x:c>
      <x:c r="E53" s="50" t="str">
        <x:v>知识内容可分块、版本化并按权限检索。</x:v>
      </x:c>
      <x:c r="F53" s="50" t="str">
        <x:v>少量实现</x:v>
      </x:c>
      <x:c r="G53" s="52" t="n">
        <x:v>0.1</x:v>
      </x:c>
      <x:c r="H53" s="50" t="str">
        <x:v>只有知识元数据。</x:v>
      </x:c>
      <x:c r="I53" s="50" t="str">
        <x:v>无法支撑正式检索和引用。</x:v>
      </x:c>
      <x:c r="J53" s="50" t="str">
        <x:v>导入政策/规范后生成不可变版本和分块；无权限内容不参与检索。</x:v>
      </x:c>
      <x:c r="K53" s="50" t="str">
        <x:v>P1</x:v>
      </x:c>
      <x:c r="L53" s="50" t="str">
        <x:v>一期必选</x:v>
      </x:c>
      <x:c r="M53" s="50" t="str">
        <x:v>PDD V1.2 第5章</x:v>
      </x:c>
      <x:c r="N53" s="50" t="str">
        <x:v>待分配</x:v>
      </x:c>
      <x:c r="O53" s="54" t="n">
        <x:v>46206</x:v>
      </x:c>
      <x:c r="P53" s="50" t="str"/>
    </x:row>
    <x:row r="54" ht="66" customHeight="1">
      <x:c r="A54" s="50" t="str">
        <x:v>CHK-5.5-08</x:v>
      </x:c>
      <x:c r="B54" s="50" t="str">
        <x:v>5.5</x:v>
      </x:c>
      <x:c r="C54" s="50" t="str">
        <x:v>模板与知识</x:v>
      </x:c>
      <x:c r="D54" s="50" t="str">
        <x:v>知识检索</x:v>
      </x:c>
      <x:c r="E54" s="50" t="str">
        <x:v>支持关键词/语义、地区、类型、时间、有效性和适用性筛选。</x:v>
      </x:c>
      <x:c r="F54" s="50" t="str">
        <x:v>少量实现</x:v>
      </x:c>
      <x:c r="G54" s="52" t="n">
        <x:v>0.25</x:v>
      </x:c>
      <x:c r="H54" s="50" t="str">
        <x:v>存在基础关键词计数检索。</x:v>
      </x:c>
      <x:c r="I54" s="50" t="str">
        <x:v>未检索知识库正文，缺少多条件过滤和相关性评估。</x:v>
      </x:c>
      <x:c r="J54" s="50" t="str">
        <x:v>输入查询可返回资料与知识结果，显示来源、有效性、相关度和定位。</x:v>
      </x:c>
      <x:c r="K54" s="50" t="str">
        <x:v>P1</x:v>
      </x:c>
      <x:c r="L54" s="50" t="str">
        <x:v>一期必选</x:v>
      </x:c>
      <x:c r="M54" s="50" t="str">
        <x:v>PDD V1.2 第5章</x:v>
      </x:c>
      <x:c r="N54" s="50" t="str">
        <x:v>待分配</x:v>
      </x:c>
      <x:c r="O54" s="54" t="n">
        <x:v>46206</x:v>
      </x:c>
      <x:c r="P54" s="50" t="str"/>
    </x:row>
    <x:row r="55" ht="66" customHeight="1">
      <x:c r="A55" s="50" t="str">
        <x:v>CHK-5.5-09</x:v>
      </x:c>
      <x:c r="B55" s="50" t="str">
        <x:v>5.5</x:v>
      </x:c>
      <x:c r="C55" s="50" t="str">
        <x:v>模板与知识</x:v>
      </x:c>
      <x:c r="D55" s="50" t="str">
        <x:v>RAG纳入知识库</x:v>
      </x:c>
      <x:c r="E55" s="50" t="str">
        <x:v>章节生成同时检索项目资料、确认事实和授权知识。</x:v>
      </x:c>
      <x:c r="F55" s="50" t="str">
        <x:v>未完成</x:v>
      </x:c>
      <x:c r="G55" s="52" t="n">
        <x:v>0</x:v>
      </x:c>
      <x:c r="H55" s="50" t="str">
        <x:v>RAG主要基于文档分块。</x:v>
      </x:c>
      <x:c r="I55" s="50" t="str">
        <x:v>知识条目未进入生成上下文。</x:v>
      </x:c>
      <x:c r="J55" s="50" t="str">
        <x:v>生成日志可见事实、资料、知识三类上下文及各自引用。</x:v>
      </x:c>
      <x:c r="K55" s="50" t="str">
        <x:v>P1</x:v>
      </x:c>
      <x:c r="L55" s="50" t="str">
        <x:v>一期必选</x:v>
      </x:c>
      <x:c r="M55" s="50" t="str">
        <x:v>PDD V1.2 第5章</x:v>
      </x:c>
      <x:c r="N55" s="50" t="str">
        <x:v>待分配</x:v>
      </x:c>
      <x:c r="O55" s="54" t="n">
        <x:v>46206</x:v>
      </x:c>
      <x:c r="P55" s="50" t="str"/>
    </x:row>
    <x:row r="56" ht="66" customHeight="1">
      <x:c r="A56" s="50" t="str">
        <x:v>CHK-5.5-10</x:v>
      </x:c>
      <x:c r="B56" s="50" t="str">
        <x:v>5.5</x:v>
      </x:c>
      <x:c r="C56" s="50" t="str">
        <x:v>模板与知识</x:v>
      </x:c>
      <x:c r="D56" s="50" t="str">
        <x:v>向量/混合检索与重排</x:v>
      </x:c>
      <x:c r="E56" s="50" t="str">
        <x:v>实现 embedding、pgvector、关键词混合召回和重排。</x:v>
      </x:c>
      <x:c r="F56" s="50" t="str">
        <x:v>少量实现</x:v>
      </x:c>
      <x:c r="G56" s="52" t="n">
        <x:v>0.05</x:v>
      </x:c>
      <x:c r="H56" s="50" t="str">
        <x:v>数据库预留 pgvector 扩展；当前为关键词计数。</x:v>
      </x:c>
      <x:c r="I56" s="50" t="str">
        <x:v>无embedding、向量查询、混合召回、重排和评估。</x:v>
      </x:c>
      <x:c r="J56" s="50" t="str">
        <x:v>检索结果包含召回方式和得分；可运行固定评测集对比版本效果。</x:v>
      </x:c>
      <x:c r="K56" s="50" t="str">
        <x:v>P1</x:v>
      </x:c>
      <x:c r="L56" s="50" t="str">
        <x:v>一期必选</x:v>
      </x:c>
      <x:c r="M56" s="50" t="str">
        <x:v>PDD V1.2 第5章</x:v>
      </x:c>
      <x:c r="N56" s="50" t="str">
        <x:v>待分配</x:v>
      </x:c>
      <x:c r="O56" s="54" t="n">
        <x:v>46206</x:v>
      </x:c>
      <x:c r="P56" s="50" t="str"/>
    </x:row>
    <x:row r="57" ht="66" customHeight="1">
      <x:c r="A57" s="50" t="str">
        <x:v>CHK-5.5-11</x:v>
      </x:c>
      <x:c r="B57" s="50" t="str">
        <x:v>5.5</x:v>
      </x:c>
      <x:c r="C57" s="50" t="str">
        <x:v>模板与知识</x:v>
      </x:c>
      <x:c r="D57" s="50" t="str">
        <x:v>项目适用性标记</x:v>
      </x:c>
      <x:c r="E57" s="50" t="str">
        <x:v>用户可标记知识适用/不适用并填写理由，影响排序和上下文。</x:v>
      </x:c>
      <x:c r="F57" s="50" t="str">
        <x:v>未完成</x:v>
      </x:c>
      <x:c r="G57" s="52" t="n">
        <x:v>0</x:v>
      </x:c>
      <x:c r="H57" s="50" t="str">
        <x:v>未实现 applicability_tag。</x:v>
      </x:c>
      <x:c r="I57" s="50" t="str">
        <x:v>区域性政策和规范无法按项目校核适用性。</x:v>
      </x:c>
      <x:c r="J57" s="50" t="str">
        <x:v>项目内标记后检索排序与生成上下文立即生效并留痕。</x:v>
      </x:c>
      <x:c r="K57" s="50" t="str">
        <x:v>P2</x:v>
      </x:c>
      <x:c r="L57" s="50" t="str">
        <x:v>一期轻量</x:v>
      </x:c>
      <x:c r="M57" s="50" t="str">
        <x:v>PDD V1.2 第5章</x:v>
      </x:c>
      <x:c r="N57" s="50" t="str">
        <x:v>待分配</x:v>
      </x:c>
      <x:c r="O57" s="54" t="n">
        <x:v>46206</x:v>
      </x:c>
      <x:c r="P57" s="50" t="str"/>
    </x:row>
    <x:row r="58" ht="66" customHeight="1">
      <x:c r="A58" s="50" t="str">
        <x:v>CHK-5.5-12</x:v>
      </x:c>
      <x:c r="B58" s="50" t="str">
        <x:v>5.5</x:v>
      </x:c>
      <x:c r="C58" s="50" t="str">
        <x:v>模板与知识</x:v>
      </x:c>
      <x:c r="D58" s="50" t="str">
        <x:v>索引重建与原子切换</x:v>
      </x:c>
      <x:c r="E58" s="50" t="str">
        <x:v>知识更新或模型切换时创建增量索引任务，新旧索引原子切换。</x:v>
      </x:c>
      <x:c r="F58" s="50" t="str">
        <x:v>未完成</x:v>
      </x:c>
      <x:c r="G58" s="52" t="n">
        <x:v>0</x:v>
      </x:c>
      <x:c r="H58" s="50" t="str">
        <x:v>未实现。</x:v>
      </x:c>
      <x:c r="I58" s="50" t="str">
        <x:v>知识更新可能影响在线服务稳定性和可追溯性。</x:v>
      </x:c>
      <x:c r="J58" s="50" t="str">
        <x:v>重建失败继续使用旧索引；成功后切换并记录索引版本。</x:v>
      </x:c>
      <x:c r="K58" s="50" t="str">
        <x:v>P2</x:v>
      </x:c>
      <x:c r="L58" s="50" t="str">
        <x:v>后续阶段</x:v>
      </x:c>
      <x:c r="M58" s="50" t="str">
        <x:v>PDD V1.2 第5章</x:v>
      </x:c>
      <x:c r="N58" s="50" t="str">
        <x:v>待分配</x:v>
      </x:c>
      <x:c r="O58" s="54" t="n">
        <x:v>46206</x:v>
      </x:c>
      <x:c r="P58" s="50" t="str"/>
    </x:row>
    <x:row r="59" ht="66" customHeight="1">
      <x:c r="A59" s="50" t="str">
        <x:v>CHK-5.5-13</x:v>
      </x:c>
      <x:c r="B59" s="50" t="str">
        <x:v>5.5</x:v>
      </x:c>
      <x:c r="C59" s="50" t="str">
        <x:v>模板与知识</x:v>
      </x:c>
      <x:c r="D59" s="50" t="str">
        <x:v>历史项目回放评测</x:v>
      </x:c>
      <x:c r="E59" s="50" t="str">
        <x:v>模板发布前用历史项目验证结构、规则和生成效果。</x:v>
      </x:c>
      <x:c r="F59" s="50" t="str">
        <x:v>未完成</x:v>
      </x:c>
      <x:c r="G59" s="52" t="n">
        <x:v>0</x:v>
      </x:c>
      <x:c r="H59" s="50" t="str">
        <x:v>未提供历史项目回放材料。</x:v>
      </x:c>
      <x:c r="I59" s="50" t="str">
        <x:v>无法证明模板可复用和结果稳定。</x:v>
      </x:c>
      <x:c r="J59" s="50" t="str">
        <x:v>至少一个真实历史项目可重复运行并输出差异、质量和人工采纳指标。</x:v>
      </x:c>
      <x:c r="K59" s="50" t="str">
        <x:v>P1</x:v>
      </x:c>
      <x:c r="L59" s="50" t="str">
        <x:v>一期必选</x:v>
      </x:c>
      <x:c r="M59" s="50" t="str">
        <x:v>PDD V1.2 第5章</x:v>
      </x:c>
      <x:c r="N59" s="50" t="str">
        <x:v>待分配</x:v>
      </x:c>
      <x:c r="O59" s="54" t="n">
        <x:v>46206</x:v>
      </x:c>
      <x:c r="P59" s="50" t="str"/>
    </x:row>
    <x:row r="60" ht="66" customHeight="1">
      <x:c r="A60" s="50" t="str">
        <x:v>CHK-5.5-14</x:v>
      </x:c>
      <x:c r="B60" s="50" t="str">
        <x:v>5.5</x:v>
      </x:c>
      <x:c r="C60" s="50" t="str">
        <x:v>模板与知识</x:v>
      </x:c>
      <x:c r="D60" s="50" t="str">
        <x:v>授权不明内容隔离</x:v>
      </x:c>
      <x:c r="E60" s="50" t="str">
        <x:v>版权或授权不清内容不得参与检索，仅供管理员审查。</x:v>
      </x:c>
      <x:c r="F60" s="50" t="str">
        <x:v>未完成</x:v>
      </x:c>
      <x:c r="G60" s="52" t="n">
        <x:v>0</x:v>
      </x:c>
      <x:c r="H60" s="50" t="str">
        <x:v>未发现隔离区和授权门禁。</x:v>
      </x:c>
      <x:c r="I60" s="50" t="str">
        <x:v>存在知识产权和模型外发风险。</x:v>
      </x:c>
      <x:c r="J60" s="50" t="str">
        <x:v>授权为空/过期的知识自动隔离，生成上下文中不可见。</x:v>
      </x:c>
      <x:c r="K60" s="50" t="str">
        <x:v>P1</x:v>
      </x:c>
      <x:c r="L60" s="50" t="str">
        <x:v>一期必选</x:v>
      </x:c>
      <x:c r="M60" s="50" t="str">
        <x:v>PDD V1.2 第5章</x:v>
      </x:c>
      <x:c r="N60" s="50" t="str">
        <x:v>待分配</x:v>
      </x:c>
      <x:c r="O60" s="54" t="n">
        <x:v>46206</x:v>
      </x:c>
      <x:c r="P60" s="50" t="str"/>
    </x:row>
    <x:row r="61" ht="66" customHeight="1">
      <x:c r="A61" s="50" t="str">
        <x:v>CHK-5.6-01</x:v>
      </x:c>
      <x:c r="B61" s="50" t="str">
        <x:v>5.6</x:v>
      </x:c>
      <x:c r="C61" s="50" t="str">
        <x:v>报告编制工作台</x:v>
      </x:c>
      <x:c r="D61" s="50" t="str">
        <x:v>报告实例与章节树</x:v>
      </x:c>
      <x:c r="E61" s="50" t="str">
        <x:v>按模板生成报告实例、章节树、状态、负责人和问题数。</x:v>
      </x:c>
      <x:c r="F61" s="50" t="str">
        <x:v>部分完成</x:v>
      </x:c>
      <x:c r="G61" s="52" t="n">
        <x:v>0.65</x:v>
      </x:c>
      <x:c r="H61" s="50" t="str">
        <x:v>有报告章节模型、页面和基础状态。</x:v>
      </x:c>
      <x:c r="I61" s="50" t="str">
        <x:v>新项目不会自动初始化完整章节树，负责人和依赖不足。</x:v>
      </x:c>
      <x:c r="J61" s="50" t="str">
        <x:v>项目初始化后章节树完整，章节状态和问题数量实时更新。</x:v>
      </x:c>
      <x:c r="K61" s="50" t="str">
        <x:v>P1</x:v>
      </x:c>
      <x:c r="L61" s="50" t="str">
        <x:v>一期必选</x:v>
      </x:c>
      <x:c r="M61" s="50" t="str">
        <x:v>PDD V1.2 第5章</x:v>
      </x:c>
      <x:c r="N61" s="50" t="str">
        <x:v>待分配</x:v>
      </x:c>
      <x:c r="O61" s="54" t="n">
        <x:v>46206</x:v>
      </x:c>
      <x:c r="P61" s="50" t="str"/>
    </x:row>
    <x:row r="62" ht="66" customHeight="1">
      <x:c r="A62" s="50" t="str">
        <x:v>CHK-5.6-02</x:v>
      </x:c>
      <x:c r="B62" s="50" t="str">
        <x:v>5.6</x:v>
      </x:c>
      <x:c r="C62" s="50" t="str">
        <x:v>报告编制工作台</x:v>
      </x:c>
      <x:c r="D62" s="50" t="str">
        <x:v>章节生成</x:v>
      </x:c>
      <x:c r="E62" s="50" t="str">
        <x:v>基于确认事实、项目资料和知识创建章节生成任务。</x:v>
      </x:c>
      <x:c r="F62" s="50" t="str">
        <x:v>部分完成</x:v>
      </x:c>
      <x:c r="G62" s="52" t="n">
        <x:v>0.65</x:v>
      </x:c>
      <x:c r="H62" s="50" t="str">
        <x:v>已有模型网关、本地降级、章节生成和存储。</x:v>
      </x:c>
      <x:c r="I62" s="50" t="str">
        <x:v>仍可能依赖预置事实，知识未参与，部分生成同步执行。</x:v>
      </x:c>
      <x:c r="J62" s="50" t="str">
        <x:v>空项目上传资料并确认事实后可异步生成章节，日志可追溯上下文。</x:v>
      </x:c>
      <x:c r="K62" s="50" t="str">
        <x:v>P1</x:v>
      </x:c>
      <x:c r="L62" s="50" t="str">
        <x:v>一期必选</x:v>
      </x:c>
      <x:c r="M62" s="50" t="str">
        <x:v>PDD V1.2 第5章</x:v>
      </x:c>
      <x:c r="N62" s="50" t="str">
        <x:v>待分配</x:v>
      </x:c>
      <x:c r="O62" s="54" t="n">
        <x:v>46206</x:v>
      </x:c>
      <x:c r="P62" s="50" t="str"/>
    </x:row>
    <x:row r="63" ht="66" customHeight="1">
      <x:c r="A63" s="50" t="str">
        <x:v>CHK-5.6-03</x:v>
      </x:c>
      <x:c r="B63" s="50" t="str">
        <x:v>5.6</x:v>
      </x:c>
      <x:c r="C63" s="50" t="str">
        <x:v>报告编制工作台</x:v>
      </x:c>
      <x:c r="D63" s="50" t="str">
        <x:v>AI结果预览与采纳</x:v>
      </x:c>
      <x:c r="E63" s="50" t="str">
        <x:v>AI结果先进入预览，不自动覆盖正文，支持分段/整段采纳。</x:v>
      </x:c>
      <x:c r="F63" s="50" t="str">
        <x:v>部分完成</x:v>
      </x:c>
      <x:c r="G63" s="52" t="n">
        <x:v>0.3</x:v>
      </x:c>
      <x:c r="H63" s="50" t="str">
        <x:v>存在生成结果和写入章节的基础流程。</x:v>
      </x:c>
      <x:c r="I63" s="50" t="str">
        <x:v>缺少明确预览版本、分段采纳和拒绝反馈。</x:v>
      </x:c>
      <x:c r="J63" s="50" t="str">
        <x:v>生成后正文不变；用户选择采纳范围后才创建新章节版本。</x:v>
      </x:c>
      <x:c r="K63" s="50" t="str">
        <x:v>P1</x:v>
      </x:c>
      <x:c r="L63" s="50" t="str">
        <x:v>一期必选</x:v>
      </x:c>
      <x:c r="M63" s="50" t="str">
        <x:v>PDD V1.2 第5章</x:v>
      </x:c>
      <x:c r="N63" s="50" t="str">
        <x:v>待分配</x:v>
      </x:c>
      <x:c r="O63" s="54" t="n">
        <x:v>46206</x:v>
      </x:c>
      <x:c r="P63" s="50" t="str"/>
    </x:row>
    <x:row r="64" ht="66" customHeight="1">
      <x:c r="A64" s="50" t="str">
        <x:v>CHK-5.6-04</x:v>
      </x:c>
      <x:c r="B64" s="50" t="str">
        <x:v>5.6</x:v>
      </x:c>
      <x:c r="C64" s="50" t="str">
        <x:v>报告编制工作台</x:v>
      </x:c>
      <x:c r="D64" s="50" t="str">
        <x:v>富文本/结构化编辑器</x:v>
      </x:c>
      <x:c r="E64" s="50" t="str">
        <x:v>支持富文本、表格、图片、引用和结构化节点编辑。</x:v>
      </x:c>
      <x:c r="F64" s="50" t="str">
        <x:v>未完成</x:v>
      </x:c>
      <x:c r="G64" s="52" t="n">
        <x:v>0</x:v>
      </x:c>
      <x:c r="H64" s="50" t="str">
        <x:v>前端标注 Tiptap/ProseMirror 待接入。</x:v>
      </x:c>
      <x:c r="I64" s="50" t="str">
        <x:v>无正式在线编辑能力。</x:v>
      </x:c>
      <x:c r="J64" s="50" t="str">
        <x:v>可编辑正文、表格、图片和绑定节点；刷新后内容保持；结构以JSON保存。</x:v>
      </x:c>
      <x:c r="K64" s="50" t="str">
        <x:v>P0</x:v>
      </x:c>
      <x:c r="L64" s="50" t="str">
        <x:v>一期必选</x:v>
      </x:c>
      <x:c r="M64" s="50" t="str">
        <x:v>PDD V1.2 第5章</x:v>
      </x:c>
      <x:c r="N64" s="50" t="str">
        <x:v>待分配</x:v>
      </x:c>
      <x:c r="O64" s="54" t="n">
        <x:v>46206</x:v>
      </x:c>
      <x:c r="P64" s="50" t="str"/>
    </x:row>
    <x:row r="65" ht="66" customHeight="1">
      <x:c r="A65" s="50" t="str">
        <x:v>CHK-5.6-05</x:v>
      </x:c>
      <x:c r="B65" s="50" t="str">
        <x:v>5.6</x:v>
      </x:c>
      <x:c r="C65" s="50" t="str">
        <x:v>报告编制工作台</x:v>
      </x:c>
      <x:c r="D65" s="50" t="str">
        <x:v>保存与自动保存</x:v>
      </x:c>
      <x:c r="E65" s="50" t="str">
        <x:v>支持草稿保存、5-10秒防抖自动保存和失败本地暂存。</x:v>
      </x:c>
      <x:c r="F65" s="50" t="str">
        <x:v>少量实现</x:v>
      </x:c>
      <x:c r="G65" s="52" t="n">
        <x:v>0.1</x:v>
      </x:c>
      <x:c r="H65" s="50" t="str">
        <x:v>章节有存储能力。</x:v>
      </x:c>
      <x:c r="I65" s="50" t="str">
        <x:v>无在线编辑、自动保存、本地暂存和冲突提示。</x:v>
      </x:c>
      <x:c r="J65" s="50" t="str">
        <x:v>断网恢复后可找回草稿；保存失败有明显提示；无静默丢失。</x:v>
      </x:c>
      <x:c r="K65" s="50" t="str">
        <x:v>P1</x:v>
      </x:c>
      <x:c r="L65" s="50" t="str">
        <x:v>一期必选</x:v>
      </x:c>
      <x:c r="M65" s="50" t="str">
        <x:v>PDD V1.2 第5章</x:v>
      </x:c>
      <x:c r="N65" s="50" t="str">
        <x:v>待分配</x:v>
      </x:c>
      <x:c r="O65" s="54" t="n">
        <x:v>46206</x:v>
      </x:c>
      <x:c r="P65" s="50" t="str"/>
    </x:row>
    <x:row r="66" ht="66" customHeight="1">
      <x:c r="A66" s="50" t="str">
        <x:v>CHK-5.6-06</x:v>
      </x:c>
      <x:c r="B66" s="50" t="str">
        <x:v>5.6</x:v>
      </x:c>
      <x:c r="C66" s="50" t="str">
        <x:v>报告编制工作台</x:v>
      </x:c>
      <x:c r="D66" s="50" t="str">
        <x:v>JSON文档模型</x:v>
      </x:c>
      <x:c r="E66" s="50" t="str">
        <x:v>章节以 content_json 保存，同时生成纯文本用于检索和检查。</x:v>
      </x:c>
      <x:c r="F66" s="50" t="str">
        <x:v>少量实现</x:v>
      </x:c>
      <x:c r="G66" s="52" t="n">
        <x:v>0.1</x:v>
      </x:c>
      <x:c r="H66" s="50" t="str">
        <x:v>当前主要保存文本内容。</x:v>
      </x:c>
      <x:c r="I66" s="50" t="str">
        <x:v>未形成稳定JSON文档模型和结构化节点。</x:v>
      </x:c>
      <x:c r="J66" s="50" t="str">
        <x:v>正文、表格、引用、绑定节点均可序列化；禁止仅存HTML。</x:v>
      </x:c>
      <x:c r="K66" s="50" t="str">
        <x:v>P1</x:v>
      </x:c>
      <x:c r="L66" s="50" t="str">
        <x:v>一期必选</x:v>
      </x:c>
      <x:c r="M66" s="50" t="str">
        <x:v>PDD V1.2 第5章</x:v>
      </x:c>
      <x:c r="N66" s="50" t="str">
        <x:v>待分配</x:v>
      </x:c>
      <x:c r="O66" s="54" t="n">
        <x:v>46206</x:v>
      </x:c>
      <x:c r="P66" s="50" t="str"/>
    </x:row>
    <x:row r="67" ht="66" customHeight="1">
      <x:c r="A67" s="50" t="str">
        <x:v>CHK-5.6-07</x:v>
      </x:c>
      <x:c r="B67" s="50" t="str">
        <x:v>5.6</x:v>
      </x:c>
      <x:c r="C67" s="50" t="str">
        <x:v>报告编制工作台</x:v>
      </x:c>
      <x:c r="D67" s="50" t="str">
        <x:v>引用面板与原文回溯</x:v>
      </x:c>
      <x:c r="E67" s="50" t="str">
        <x:v>管理引用清单、原文定位、有效性和权限。</x:v>
      </x:c>
      <x:c r="F67" s="50" t="str">
        <x:v>部分完成</x:v>
      </x:c>
      <x:c r="G67" s="52" t="n">
        <x:v>0.45</x:v>
      </x:c>
      <x:c r="H67" s="50" t="str">
        <x:v>章节引用可关联事实与文档分块；Word可输出引用。</x:v>
      </x:c>
      <x:c r="I67" s="50" t="str">
        <x:v>前端引用面板、稳定锚点和原文定位不完整。</x:v>
      </x:c>
      <x:c r="J67" s="50" t="str">
        <x:v>点击引用定位原文；删除大段正文时提示受影响引用；无权限源不可查看。</x:v>
      </x:c>
      <x:c r="K67" s="50" t="str">
        <x:v>P1</x:v>
      </x:c>
      <x:c r="L67" s="50" t="str">
        <x:v>一期必选</x:v>
      </x:c>
      <x:c r="M67" s="50" t="str">
        <x:v>PDD V1.2 第5章</x:v>
      </x:c>
      <x:c r="N67" s="50" t="str">
        <x:v>待分配</x:v>
      </x:c>
      <x:c r="O67" s="54" t="n">
        <x:v>46206</x:v>
      </x:c>
      <x:c r="P67" s="50" t="str"/>
    </x:row>
    <x:row r="68" ht="66" customHeight="1">
      <x:c r="A68" s="50" t="str">
        <x:v>CHK-5.6-08</x:v>
      </x:c>
      <x:c r="B68" s="50" t="str">
        <x:v>5.6</x:v>
      </x:c>
      <x:c r="C68" s="50" t="str">
        <x:v>报告编制工作台</x:v>
      </x:c>
      <x:c r="D68" s="50" t="str">
        <x:v>事实/计算/图表绑定</x:v>
      </x:c>
      <x:c r="E68" s="50" t="str">
        <x:v>受控节点绑定事实、计算和GIS结果，源值变化时标记待刷新。</x:v>
      </x:c>
      <x:c r="F68" s="50" t="str">
        <x:v>少量实现</x:v>
      </x:c>
      <x:c r="G68" s="52" t="n">
        <x:v>0.2</x:v>
      </x:c>
      <x:c r="H68" s="50" t="str">
        <x:v>存在事实引用及部分章节关联。</x:v>
      </x:c>
      <x:c r="I68" s="50" t="str">
        <x:v>缺少 content_binding、显示格式和刷新/解除原因。</x:v>
      </x:c>
      <x:c r="J68" s="50" t="str">
        <x:v>修改事实后章节绑定节点显示过期；刷新后生成新版本。</x:v>
      </x:c>
      <x:c r="K68" s="50" t="str">
        <x:v>P1</x:v>
      </x:c>
      <x:c r="L68" s="50" t="str">
        <x:v>一期必选</x:v>
      </x:c>
      <x:c r="M68" s="50" t="str">
        <x:v>PDD V1.2 第5章</x:v>
      </x:c>
      <x:c r="N68" s="50" t="str">
        <x:v>待分配</x:v>
      </x:c>
      <x:c r="O68" s="54" t="n">
        <x:v>46206</x:v>
      </x:c>
      <x:c r="P68" s="50" t="str"/>
    </x:row>
    <x:row r="69" ht="66" customHeight="1">
      <x:c r="A69" s="50" t="str">
        <x:v>CHK-5.6-09</x:v>
      </x:c>
      <x:c r="B69" s="50" t="str">
        <x:v>5.6</x:v>
      </x:c>
      <x:c r="C69" s="50" t="str">
        <x:v>报告编制工作台</x:v>
      </x:c>
      <x:c r="D69" s="50" t="str">
        <x:v>章节版本与版本对比</x:v>
      </x:c>
      <x:c r="E69" s="50" t="str">
        <x:v>每次生成、人工编辑、审核退回形成不可变 section_version。</x:v>
      </x:c>
      <x:c r="F69" s="50" t="str">
        <x:v>未完成</x:v>
      </x:c>
      <x:c r="G69" s="52" t="n">
        <x:v>0</x:v>
      </x:c>
      <x:c r="H69" s="50" t="str">
        <x:v>无章节版本历史。</x:v>
      </x:c>
      <x:c r="I69" s="50" t="str">
        <x:v>不能比较、回滚和锚定审核意见。</x:v>
      </x:c>
      <x:c r="J69" s="50" t="str">
        <x:v>版本列表可查看来源、作者、时间、差异并可基于历史版本新建草稿。</x:v>
      </x:c>
      <x:c r="K69" s="50" t="str">
        <x:v>P0</x:v>
      </x:c>
      <x:c r="L69" s="50" t="str">
        <x:v>一期必选</x:v>
      </x:c>
      <x:c r="M69" s="50" t="str">
        <x:v>PDD V1.2 第5章</x:v>
      </x:c>
      <x:c r="N69" s="50" t="str">
        <x:v>待分配</x:v>
      </x:c>
      <x:c r="O69" s="54" t="n">
        <x:v>46206</x:v>
      </x:c>
      <x:c r="P69" s="50" t="str"/>
    </x:row>
    <x:row r="70" ht="66" customHeight="1">
      <x:c r="A70" s="50" t="str">
        <x:v>CHK-5.6-10</x:v>
      </x:c>
      <x:c r="B70" s="50" t="str">
        <x:v>5.6</x:v>
      </x:c>
      <x:c r="C70" s="50" t="str">
        <x:v>报告编制工作台</x:v>
      </x:c>
      <x:c r="D70" s="50" t="str">
        <x:v>提交审核、退回和复审</x:v>
      </x:c>
      <x:c r="E70" s="50" t="str">
        <x:v>提交后章节只读，退回意见锚定版本，修改后重新审核。</x:v>
      </x:c>
      <x:c r="F70" s="50" t="str">
        <x:v>少量实现</x:v>
      </x:c>
      <x:c r="G70" s="52" t="n">
        <x:v>0.2</x:v>
      </x:c>
      <x:c r="H70" s="50" t="str">
        <x:v>章节可直接修改审核状态。</x:v>
      </x:c>
      <x:c r="I70" s="50" t="str">
        <x:v>无审核任务、意见、退回分支、复审和权限。</x:v>
      </x:c>
      <x:c r="J70" s="50" t="str">
        <x:v>指定审核人完成通过/退回；退回后生成新草稿且保留旧意见锚点。</x:v>
      </x:c>
      <x:c r="K70" s="50" t="str">
        <x:v>P0</x:v>
      </x:c>
      <x:c r="L70" s="50" t="str">
        <x:v>一期必选</x:v>
      </x:c>
      <x:c r="M70" s="50" t="str">
        <x:v>PDD V1.2 第5章</x:v>
      </x:c>
      <x:c r="N70" s="50" t="str">
        <x:v>待分配</x:v>
      </x:c>
      <x:c r="O70" s="54" t="n">
        <x:v>46206</x:v>
      </x:c>
      <x:c r="P70" s="50" t="str"/>
    </x:row>
    <x:row r="71" ht="66" customHeight="1">
      <x:c r="A71" s="50" t="str">
        <x:v>CHK-5.6-11</x:v>
      </x:c>
      <x:c r="B71" s="50" t="str">
        <x:v>5.6</x:v>
      </x:c>
      <x:c r="C71" s="50" t="str">
        <x:v>报告编制工作台</x:v>
      </x:c>
      <x:c r="D71" s="50" t="str">
        <x:v>待确认问题</x:v>
      </x:c>
      <x:c r="E71" s="50" t="str">
        <x:v>生成时对缺失事实、冲突、专业判断和无依据内容创建问题。</x:v>
      </x:c>
      <x:c r="F71" s="50" t="str">
        <x:v>少量实现</x:v>
      </x:c>
      <x:c r="G71" s="52" t="n">
        <x:v>0.1</x:v>
      </x:c>
      <x:c r="H71" s="50" t="str">
        <x:v>存在质量问题列表。</x:v>
      </x:c>
      <x:c r="I71" s="50" t="str">
        <x:v>未形成 confirmation_question 和生成前问题处理。</x:v>
      </x:c>
      <x:c r="J71" s="50" t="str">
        <x:v>生成结果列出待确认项，必须分配责任人并在发布前处理。</x:v>
      </x:c>
      <x:c r="K71" s="50" t="str">
        <x:v>P1</x:v>
      </x:c>
      <x:c r="L71" s="50" t="str">
        <x:v>一期必选</x:v>
      </x:c>
      <x:c r="M71" s="50" t="str">
        <x:v>PDD V1.2 第5章</x:v>
      </x:c>
      <x:c r="N71" s="50" t="str">
        <x:v>待分配</x:v>
      </x:c>
      <x:c r="O71" s="54" t="n">
        <x:v>46206</x:v>
      </x:c>
      <x:c r="P71" s="50" t="str"/>
    </x:row>
    <x:row r="72" ht="66" customHeight="1">
      <x:c r="A72" s="50" t="str">
        <x:v>CHK-5.6-12</x:v>
      </x:c>
      <x:c r="B72" s="50" t="str">
        <x:v>5.6</x:v>
      </x:c>
      <x:c r="C72" s="50" t="str">
        <x:v>报告编制工作台</x:v>
      </x:c>
      <x:c r="D72" s="50" t="str">
        <x:v>多人编辑乐观锁</x:v>
      </x:c>
      <x:c r="E72" s="50" t="str">
        <x:v>提交版本号不一致时返回冲突并支持比较合并。</x:v>
      </x:c>
      <x:c r="F72" s="50" t="str">
        <x:v>未完成</x:v>
      </x:c>
      <x:c r="G72" s="52" t="n">
        <x:v>0</x:v>
      </x:c>
      <x:c r="H72" s="50" t="str">
        <x:v>未实现。</x:v>
      </x:c>
      <x:c r="I72" s="50" t="str">
        <x:v>多人编辑存在覆盖风险。</x:v>
      </x:c>
      <x:c r="J72" s="50" t="str">
        <x:v>两个用户同时编辑时后提交者收到版本冲突，正文不被静默覆盖。</x:v>
      </x:c>
      <x:c r="K72" s="50" t="str">
        <x:v>P2</x:v>
      </x:c>
      <x:c r="L72" s="50" t="str">
        <x:v>后续阶段</x:v>
      </x:c>
      <x:c r="M72" s="50" t="str">
        <x:v>PDD V1.2 第5章</x:v>
      </x:c>
      <x:c r="N72" s="50" t="str">
        <x:v>待分配</x:v>
      </x:c>
      <x:c r="O72" s="54" t="n">
        <x:v>46206</x:v>
      </x:c>
      <x:c r="P72" s="50" t="str"/>
    </x:row>
    <x:row r="73" ht="66" customHeight="1">
      <x:c r="A73" s="50" t="str">
        <x:v>CHK-5.6-13</x:v>
      </x:c>
      <x:c r="B73" s="50" t="str">
        <x:v>5.6</x:v>
      </x:c>
      <x:c r="C73" s="50" t="str">
        <x:v>报告编制工作台</x:v>
      </x:c>
      <x:c r="D73" s="50" t="str">
        <x:v>引用源失效与过期提示</x:v>
      </x:c>
      <x:c r="E73" s="50" t="str">
        <x:v>来源版本失效时章节告警，已发布版本引用保留。</x:v>
      </x:c>
      <x:c r="F73" s="50" t="str">
        <x:v>少量实现</x:v>
      </x:c>
      <x:c r="G73" s="52" t="n">
        <x:v>0.2</x:v>
      </x:c>
      <x:c r="H73" s="50" t="str">
        <x:v>有基础引用和文档状态。</x:v>
      </x:c>
      <x:c r="I73" s="50" t="str">
        <x:v>无统一过期/失效传播。</x:v>
      </x:c>
      <x:c r="J73" s="50" t="str">
        <x:v>失效资料使草稿章节显示警告；发布版仍可访问原版本快照。</x:v>
      </x:c>
      <x:c r="K73" s="50" t="str">
        <x:v>P1</x:v>
      </x:c>
      <x:c r="L73" s="50" t="str">
        <x:v>一期必选</x:v>
      </x:c>
      <x:c r="M73" s="50" t="str">
        <x:v>PDD V1.2 第5章</x:v>
      </x:c>
      <x:c r="N73" s="50" t="str">
        <x:v>待分配</x:v>
      </x:c>
      <x:c r="O73" s="54" t="n">
        <x:v>46206</x:v>
      </x:c>
      <x:c r="P73" s="50" t="str"/>
    </x:row>
    <x:row r="74" ht="66" customHeight="1">
      <x:c r="A74" s="50" t="str">
        <x:v>CHK-5.6-14</x:v>
      </x:c>
      <x:c r="B74" s="50" t="str">
        <x:v>5.6</x:v>
      </x:c>
      <x:c r="C74" s="50" t="str">
        <x:v>报告编制工作台</x:v>
      </x:c>
      <x:c r="D74" s="50" t="str">
        <x:v>章节异步生成与任务追踪</x:v>
      </x:c>
      <x:c r="E74" s="50" t="str">
        <x:v>章节生成通过任务中心执行，支持进度、取消、重试和错误详情。</x:v>
      </x:c>
      <x:c r="F74" s="50" t="str">
        <x:v>少量实现</x:v>
      </x:c>
      <x:c r="G74" s="52" t="n">
        <x:v>0.2</x:v>
      </x:c>
      <x:c r="H74" s="50" t="str">
        <x:v>模型网关可调用，部分任务可入Celery。</x:v>
      </x:c>
      <x:c r="I74" s="50" t="str">
        <x:v>章节生成仍有同步路径，缺少完整任务生命周期。</x:v>
      </x:c>
      <x:c r="J74" s="50" t="str">
        <x:v>大章节生成不阻塞API；任务中心可查看进度、取消和重试。</x:v>
      </x:c>
      <x:c r="K74" s="50" t="str">
        <x:v>P1</x:v>
      </x:c>
      <x:c r="L74" s="50" t="str">
        <x:v>一期必选</x:v>
      </x:c>
      <x:c r="M74" s="50" t="str">
        <x:v>PDD V1.2 第5章</x:v>
      </x:c>
      <x:c r="N74" s="50" t="str">
        <x:v>待分配</x:v>
      </x:c>
      <x:c r="O74" s="54" t="n">
        <x:v>46206</x:v>
      </x:c>
      <x:c r="P74" s="50" t="str"/>
    </x:row>
    <x:row r="75" ht="66" customHeight="1">
      <x:c r="A75" s="50" t="str">
        <x:v>CHK-5.6-15</x:v>
      </x:c>
      <x:c r="B75" s="50" t="str">
        <x:v>5.6</x:v>
      </x:c>
      <x:c r="C75" s="50" t="str">
        <x:v>报告编制工作台</x:v>
      </x:c>
      <x:c r="D75" s="50" t="str">
        <x:v>正文进入Word成果</x:v>
      </x:c>
      <x:c r="E75" s="50" t="str">
        <x:v>正式Word按章节顺序渲染正文和引用。</x:v>
      </x:c>
      <x:c r="F75" s="50" t="str">
        <x:v>基本完成</x:v>
      </x:c>
      <x:c r="G75" s="52" t="n">
        <x:v>0.8</x:v>
      </x:c>
      <x:c r="H75" s="50" t="str">
        <x:v>独立验证确认Word已包含章节正文和引用。</x:v>
      </x:c>
      <x:c r="I75" s="50" t="str">
        <x:v>正式样式、编号、目录、图片和结构化节点仍需完善。</x:v>
      </x:c>
      <x:c r="J75" s="50" t="str">
        <x:v>使用完整样例生成Word，正文、引用、表格和章节顺序准确。</x:v>
      </x:c>
      <x:c r="K75" s="50" t="str">
        <x:v>P1</x:v>
      </x:c>
      <x:c r="L75" s="50" t="str">
        <x:v>一期必选</x:v>
      </x:c>
      <x:c r="M75" s="50" t="str">
        <x:v>PDD V1.2 第5章</x:v>
      </x:c>
      <x:c r="N75" s="50" t="str">
        <x:v>待分配</x:v>
      </x:c>
      <x:c r="O75" s="54" t="n">
        <x:v>46206</x:v>
      </x:c>
      <x:c r="P75" s="50" t="str"/>
    </x:row>
    <x:row r="76" ht="66" customHeight="1">
      <x:c r="A76" s="50" t="str">
        <x:v>CHK-5.7-01</x:v>
      </x:c>
      <x:c r="B76" s="50" t="str">
        <x:v>5.7</x:v>
      </x:c>
      <x:c r="C76" s="50" t="str">
        <x:v>GIS与区域分析</x:v>
      </x:c>
      <x:c r="D76" s="50" t="str">
        <x:v>地图工作台</x:v>
      </x:c>
      <x:c r="E76" s="50" t="str">
        <x:v>提供底图、图层、项目位置、绘制工具和图例。</x:v>
      </x:c>
      <x:c r="F76" s="50" t="str">
        <x:v>少量实现</x:v>
      </x:c>
      <x:c r="G76" s="52" t="n">
        <x:v>0.05</x:v>
      </x:c>
      <x:c r="H76" s="50" t="str">
        <x:v>仅有地图视觉占位。</x:v>
      </x:c>
      <x:c r="I76" s="50" t="str">
        <x:v>无前端地图引擎和真实图层。</x:v>
      </x:c>
      <x:c r="J76" s="50" t="str">
        <x:v>可加载底图、缩放、选择图层并显示项目点/边界。</x:v>
      </x:c>
      <x:c r="K76" s="50" t="str">
        <x:v>P1</x:v>
      </x:c>
      <x:c r="L76" s="50" t="str">
        <x:v>一期轻量</x:v>
      </x:c>
      <x:c r="M76" s="50" t="str">
        <x:v>PDD V1.2 第5章</x:v>
      </x:c>
      <x:c r="N76" s="50" t="str">
        <x:v>待分配</x:v>
      </x:c>
      <x:c r="O76" s="54" t="n">
        <x:v>46206</x:v>
      </x:c>
      <x:c r="P76" s="50" t="str"/>
    </x:row>
    <x:row r="77" ht="66" customHeight="1">
      <x:c r="A77" s="50" t="str">
        <x:v>CHK-5.7-02</x:v>
      </x:c>
      <x:c r="B77" s="50" t="str">
        <x:v>5.7</x:v>
      </x:c>
      <x:c r="C77" s="50" t="str">
        <x:v>GIS与区域分析</x:v>
      </x:c>
      <x:c r="D77" s="50" t="str">
        <x:v>项目位置和边界</x:v>
      </x:c>
      <x:c r="E77" s="50" t="str">
        <x:v>保存项目点/地块边界、坐标系、来源和版本。</x:v>
      </x:c>
      <x:c r="F77" s="50" t="str">
        <x:v>未完成</x:v>
      </x:c>
      <x:c r="G77" s="52" t="n">
        <x:v>0</x:v>
      </x:c>
      <x:c r="H77" s="50" t="str">
        <x:v>未实现 project_geometry。</x:v>
      </x:c>
      <x:c r="I77" s="50" t="str">
        <x:v>项目缺少可计算空间基准。</x:v>
      </x:c>
      <x:c r="J77" s="50" t="str">
        <x:v>可输入坐标、地址定位或绘制边界，并保存原始及分析坐标系。</x:v>
      </x:c>
      <x:c r="K77" s="50" t="str">
        <x:v>P1</x:v>
      </x:c>
      <x:c r="L77" s="50" t="str">
        <x:v>一期轻量</x:v>
      </x:c>
      <x:c r="M77" s="50" t="str">
        <x:v>PDD V1.2 第5章</x:v>
      </x:c>
      <x:c r="N77" s="50" t="str">
        <x:v>待分配</x:v>
      </x:c>
      <x:c r="O77" s="54" t="n">
        <x:v>46206</x:v>
      </x:c>
      <x:c r="P77" s="50" t="str"/>
    </x:row>
    <x:row r="78" ht="66" customHeight="1">
      <x:c r="A78" s="50" t="str">
        <x:v>CHK-5.7-03</x:v>
      </x:c>
      <x:c r="B78" s="50" t="str">
        <x:v>5.7</x:v>
      </x:c>
      <x:c r="C78" s="50" t="str">
        <x:v>GIS与区域分析</x:v>
      </x:c>
      <x:c r="D78" s="50" t="str">
        <x:v>GIS图层管理</x:v>
      </x:c>
      <x:c r="E78" s="50" t="str">
        <x:v>配置服务类型、URL/文件、CRS、元数据和权限。</x:v>
      </x:c>
      <x:c r="F78" s="50" t="str">
        <x:v>未完成</x:v>
      </x:c>
      <x:c r="G78" s="52" t="n">
        <x:v>0</x:v>
      </x:c>
      <x:c r="H78" s="50" t="str">
        <x:v>PostGIS仅预留扩展。</x:v>
      </x:c>
      <x:c r="I78" s="50" t="str">
        <x:v>无图层模型、服务配置和权限。</x:v>
      </x:c>
      <x:c r="J78" s="50" t="str">
        <x:v>管理员可配置图层并健康检查；项目仅能使用授权图层。</x:v>
      </x:c>
      <x:c r="K78" s="50" t="str">
        <x:v>P2</x:v>
      </x:c>
      <x:c r="L78" s="50" t="str">
        <x:v>后续阶段</x:v>
      </x:c>
      <x:c r="M78" s="50" t="str">
        <x:v>PDD V1.2 第5章</x:v>
      </x:c>
      <x:c r="N78" s="50" t="str">
        <x:v>待分配</x:v>
      </x:c>
      <x:c r="O78" s="54" t="n">
        <x:v>46206</x:v>
      </x:c>
      <x:c r="P78" s="50" t="str"/>
    </x:row>
    <x:row r="79" ht="66" customHeight="1">
      <x:c r="A79" s="50" t="str">
        <x:v>CHK-5.7-04</x:v>
      </x:c>
      <x:c r="B79" s="50" t="str">
        <x:v>5.7</x:v>
      </x:c>
      <x:c r="C79" s="50" t="str">
        <x:v>GIS与区域分析</x:v>
      </x:c>
      <x:c r="D79" s="50" t="str">
        <x:v>服务范围/缓冲区分析</x:v>
      </x:c>
      <x:c r="E79" s="50" t="str">
        <x:v>按距离或时间运行服务范围分析并保存参数与结果。</x:v>
      </x:c>
      <x:c r="F79" s="50" t="str">
        <x:v>未完成</x:v>
      </x:c>
      <x:c r="G79" s="52" t="n">
        <x:v>0</x:v>
      </x:c>
      <x:c r="H79" s="50" t="str">
        <x:v>未实现。</x:v>
      </x:c>
      <x:c r="I79" s="50" t="str">
        <x:v>无法形成区位和可达性结论。</x:v>
      </x:c>
      <x:c r="J79" s="50" t="str">
        <x:v>给定阈值生成等距/等时范围，保存数据版本、参数和图像。</x:v>
      </x:c>
      <x:c r="K79" s="50" t="str">
        <x:v>P2</x:v>
      </x:c>
      <x:c r="L79" s="50" t="str">
        <x:v>一期轻量</x:v>
      </x:c>
      <x:c r="M79" s="50" t="str">
        <x:v>PDD V1.2 第5章</x:v>
      </x:c>
      <x:c r="N79" s="50" t="str">
        <x:v>待分配</x:v>
      </x:c>
      <x:c r="O79" s="54" t="n">
        <x:v>46206</x:v>
      </x:c>
      <x:c r="P79" s="50" t="str"/>
    </x:row>
    <x:row r="80" ht="66" customHeight="1">
      <x:c r="A80" s="50" t="str">
        <x:v>CHK-5.7-05</x:v>
      </x:c>
      <x:c r="B80" s="50" t="str">
        <x:v>5.7</x:v>
      </x:c>
      <x:c r="C80" s="50" t="str">
        <x:v>GIS与区域分析</x:v>
      </x:c>
      <x:c r="D80" s="50" t="str">
        <x:v>周边设施统计</x:v>
      </x:c>
      <x:c r="E80" s="50" t="str">
        <x:v>统计范围内设施数量、容量和缺口。</x:v>
      </x:c>
      <x:c r="F80" s="50" t="str">
        <x:v>未完成</x:v>
      </x:c>
      <x:c r="G80" s="52" t="n">
        <x:v>0</x:v>
      </x:c>
      <x:c r="H80" s="50" t="str">
        <x:v>未实现。</x:v>
      </x:c>
      <x:c r="I80" s="50" t="str">
        <x:v>无设施数据源和分析流程。</x:v>
      </x:c>
      <x:c r="J80" s="50" t="str">
        <x:v>选择设施类型后输出数量、距离、覆盖和数据质量。</x:v>
      </x:c>
      <x:c r="K80" s="50" t="str">
        <x:v>P2</x:v>
      </x:c>
      <x:c r="L80" s="50" t="str">
        <x:v>一期轻量</x:v>
      </x:c>
      <x:c r="M80" s="50" t="str">
        <x:v>PDD V1.2 第5章</x:v>
      </x:c>
      <x:c r="N80" s="50" t="str">
        <x:v>待分配</x:v>
      </x:c>
      <x:c r="O80" s="54" t="n">
        <x:v>46206</x:v>
      </x:c>
      <x:c r="P80" s="50" t="str"/>
    </x:row>
    <x:row r="81" ht="66" customHeight="1">
      <x:c r="A81" s="50" t="str">
        <x:v>CHK-5.7-06</x:v>
      </x:c>
      <x:c r="B81" s="50" t="str">
        <x:v>5.7</x:v>
      </x:c>
      <x:c r="C81" s="50" t="str">
        <x:v>GIS与区域分析</x:v>
      </x:c>
      <x:c r="D81" s="50" t="str">
        <x:v>GIS结果回写指标</x:v>
      </x:c>
      <x:c r="E81" s="50" t="str">
        <x:v>用户确认后将空间分析结果映射到事实/指标。</x:v>
      </x:c>
      <x:c r="F81" s="50" t="str">
        <x:v>未完成</x:v>
      </x:c>
      <x:c r="G81" s="52" t="n">
        <x:v>0</x:v>
      </x:c>
      <x:c r="H81" s="50" t="str">
        <x:v>未实现。</x:v>
      </x:c>
      <x:c r="I81" s="50" t="str">
        <x:v>GIS与报告、事实链路断开。</x:v>
      </x:c>
      <x:c r="J81" s="50" t="str">
        <x:v>结果可选择字段回写，保留参数、数据源和结果绑定。</x:v>
      </x:c>
      <x:c r="K81" s="50" t="str">
        <x:v>P2</x:v>
      </x:c>
      <x:c r="L81" s="50" t="str">
        <x:v>一期轻量</x:v>
      </x:c>
      <x:c r="M81" s="50" t="str">
        <x:v>PDD V1.2 第5章</x:v>
      </x:c>
      <x:c r="N81" s="50" t="str">
        <x:v>待分配</x:v>
      </x:c>
      <x:c r="O81" s="54" t="n">
        <x:v>46206</x:v>
      </x:c>
      <x:c r="P81" s="50" t="str"/>
    </x:row>
    <x:row r="82" ht="66" customHeight="1">
      <x:c r="A82" s="50" t="str">
        <x:v>CHK-5.7-07</x:v>
      </x:c>
      <x:c r="B82" s="50" t="str">
        <x:v>5.7</x:v>
      </x:c>
      <x:c r="C82" s="50" t="str">
        <x:v>GIS与区域分析</x:v>
      </x:c>
      <x:c r="D82" s="50" t="str">
        <x:v>图表快照与报告插入</x:v>
      </x:c>
      <x:c r="E82" s="50" t="str">
        <x:v>生成带图例、比例尺、来源和时间的区位图/统计图。</x:v>
      </x:c>
      <x:c r="F82" s="50" t="str">
        <x:v>未完成</x:v>
      </x:c>
      <x:c r="G82" s="52" t="n">
        <x:v>0</x:v>
      </x:c>
      <x:c r="H82" s="50" t="str">
        <x:v>无GIS成果图输出。</x:v>
      </x:c>
      <x:c r="I82" s="50" t="str">
        <x:v>报告只能使用人工外部图片。</x:v>
      </x:c>
      <x:c r="J82" s="50" t="str">
        <x:v>GIS快照可插入章节/PPT，源数据过期时提示刷新。</x:v>
      </x:c>
      <x:c r="K82" s="50" t="str">
        <x:v>P2</x:v>
      </x:c>
      <x:c r="L82" s="50" t="str">
        <x:v>一期轻量</x:v>
      </x:c>
      <x:c r="M82" s="50" t="str">
        <x:v>PDD V1.2 第5章</x:v>
      </x:c>
      <x:c r="N82" s="50" t="str">
        <x:v>待分配</x:v>
      </x:c>
      <x:c r="O82" s="54" t="n">
        <x:v>46206</x:v>
      </x:c>
      <x:c r="P82" s="50" t="str"/>
    </x:row>
    <x:row r="83" ht="66" customHeight="1">
      <x:c r="A83" s="50" t="str">
        <x:v>CHK-5.7-08</x:v>
      </x:c>
      <x:c r="B83" s="50" t="str">
        <x:v>5.7</x:v>
      </x:c>
      <x:c r="C83" s="50" t="str">
        <x:v>GIS与区域分析</x:v>
      </x:c>
      <x:c r="D83" s="50" t="str">
        <x:v>坐标系、质量和版本控制</x:v>
      </x:c>
      <x:c r="E83" s="50" t="str">
        <x:v>保存原始/分析坐标系、数据时间、覆盖和质量等级。</x:v>
      </x:c>
      <x:c r="F83" s="50" t="str">
        <x:v>未完成</x:v>
      </x:c>
      <x:c r="G83" s="52" t="n">
        <x:v>0</x:v>
      </x:c>
      <x:c r="H83" s="50" t="str">
        <x:v>未实现。</x:v>
      </x:c>
      <x:c r="I83" s="50" t="str">
        <x:v>空间结论不可复现。</x:v>
      </x:c>
      <x:c r="J83" s="50" t="str">
        <x:v>坐标系未知时阻止分析；低质量数据只允许提示性结论。</x:v>
      </x:c>
      <x:c r="K83" s="50" t="str">
        <x:v>P2</x:v>
      </x:c>
      <x:c r="L83" s="50" t="str">
        <x:v>后续阶段</x:v>
      </x:c>
      <x:c r="M83" s="50" t="str">
        <x:v>PDD V1.2 第5章</x:v>
      </x:c>
      <x:c r="N83" s="50" t="str">
        <x:v>待分配</x:v>
      </x:c>
      <x:c r="O83" s="54" t="n">
        <x:v>46206</x:v>
      </x:c>
      <x:c r="P83" s="50" t="str"/>
    </x:row>
    <x:row r="84" ht="66" customHeight="1">
      <x:c r="A84" s="50" t="str">
        <x:v>CHK-5.7-09</x:v>
      </x:c>
      <x:c r="B84" s="50" t="str">
        <x:v>5.7</x:v>
      </x:c>
      <x:c r="C84" s="50" t="str">
        <x:v>GIS与区域分析</x:v>
      </x:c>
      <x:c r="D84" s="50" t="str">
        <x:v>外部服务故障兜底</x:v>
      </x:c>
      <x:c r="E84" s="50" t="str">
        <x:v>地图服务不可用时使用缓存或明确提示，不静默返回空结果。</x:v>
      </x:c>
      <x:c r="F84" s="50" t="str">
        <x:v>未完成</x:v>
      </x:c>
      <x:c r="G84" s="52" t="n">
        <x:v>0</x:v>
      </x:c>
      <x:c r="H84" s="50" t="str">
        <x:v>未实现。</x:v>
      </x:c>
      <x:c r="I84" s="50" t="str">
        <x:v>外部依赖故障可能造成错误结论。</x:v>
      </x:c>
      <x:c r="J84" s="50" t="str">
        <x:v>断开服务后界面明确标记失败并保留已有缓存结果。</x:v>
      </x:c>
      <x:c r="K84" s="50" t="str">
        <x:v>P3</x:v>
      </x:c>
      <x:c r="L84" s="50" t="str">
        <x:v>后续阶段</x:v>
      </x:c>
      <x:c r="M84" s="50" t="str">
        <x:v>PDD V1.2 第5章</x:v>
      </x:c>
      <x:c r="N84" s="50" t="str">
        <x:v>待分配</x:v>
      </x:c>
      <x:c r="O84" s="54" t="n">
        <x:v>46206</x:v>
      </x:c>
      <x:c r="P84" s="50" t="str"/>
    </x:row>
    <x:row r="85" ht="66" customHeight="1">
      <x:c r="A85" s="50" t="str">
        <x:v>CHK-5.8-01</x:v>
      </x:c>
      <x:c r="B85" s="50" t="str">
        <x:v>5.8</x:v>
      </x:c>
      <x:c r="C85" s="50" t="str">
        <x:v>指标与投资测算</x:v>
      </x:c>
      <x:c r="D85" s="50" t="str">
        <x:v>基础投资估算页面和服务</x:v>
      </x:c>
      <x:c r="E85" s="50" t="str">
        <x:v>支持估算总额、分项、单位指标、资金结构和基础场景。</x:v>
      </x:c>
      <x:c r="F85" s="50" t="str">
        <x:v>基本完成</x:v>
      </x:c>
      <x:c r="G85" s="52" t="n">
        <x:v>0.7</x:v>
      </x:c>
      <x:c r="H85" s="50" t="str">
        <x:v>已有投资估算表、服务、接口和前端页面。</x:v>
      </x:c>
      <x:c r="I85" s="50" t="str">
        <x:v>模型仍较简化。</x:v>
      </x:c>
      <x:c r="J85" s="50" t="str">
        <x:v>以样例项目生成分项估算、单位指标和资金结构，结果可复核。</x:v>
      </x:c>
      <x:c r="K85" s="50" t="str">
        <x:v>P1</x:v>
      </x:c>
      <x:c r="L85" s="50" t="str">
        <x:v>一期必选</x:v>
      </x:c>
      <x:c r="M85" s="50" t="str">
        <x:v>PDD V1.2 第5章</x:v>
      </x:c>
      <x:c r="N85" s="50" t="str">
        <x:v>待分配</x:v>
      </x:c>
      <x:c r="O85" s="54" t="n">
        <x:v>46206</x:v>
      </x:c>
      <x:c r="P85" s="50" t="str"/>
    </x:row>
    <x:row r="86" ht="66" customHeight="1">
      <x:c r="A86" s="50" t="str">
        <x:v>CHK-5.8-02</x:v>
      </x:c>
      <x:c r="B86" s="50" t="str">
        <x:v>5.8</x:v>
      </x:c>
      <x:c r="C86" s="50" t="str">
        <x:v>指标与投资测算</x:v>
      </x:c>
      <x:c r="D86" s="50" t="str">
        <x:v>计算模型库与版本</x:v>
      </x:c>
      <x:c r="E86" s="50" t="str">
        <x:v>登记模型名称、版本、适用场景、责任人和输入输出Schema。</x:v>
      </x:c>
      <x:c r="F86" s="50" t="str">
        <x:v>少量实现</x:v>
      </x:c>
      <x:c r="G86" s="52" t="n">
        <x:v>0.15</x:v>
      </x:c>
      <x:c r="H86" s="50" t="str">
        <x:v>有估算服务代码。</x:v>
      </x:c>
      <x:c r="I86" s="50" t="str">
        <x:v>没有正式 calc_model/version、发布和停用流程。</x:v>
      </x:c>
      <x:c r="J86" s="50" t="str">
        <x:v>模型通过样例校验后发布；升级后旧项目仍引用原版本。</x:v>
      </x:c>
      <x:c r="K86" s="50" t="str">
        <x:v>P1</x:v>
      </x:c>
      <x:c r="L86" s="50" t="str">
        <x:v>一期必选</x:v>
      </x:c>
      <x:c r="M86" s="50" t="str">
        <x:v>PDD V1.2 第5章</x:v>
      </x:c>
      <x:c r="N86" s="50" t="str">
        <x:v>待分配</x:v>
      </x:c>
      <x:c r="O86" s="54" t="n">
        <x:v>46206</x:v>
      </x:c>
      <x:c r="P86" s="50" t="str"/>
    </x:row>
    <x:row r="87" ht="66" customHeight="1">
      <x:c r="A87" s="50" t="str">
        <x:v>CHK-5.8-03</x:v>
      </x:c>
      <x:c r="B87" s="50" t="str">
        <x:v>5.8</x:v>
      </x:c>
      <x:c r="C87" s="50" t="str">
        <x:v>指标与投资测算</x:v>
      </x:c>
      <x:c r="D87" s="50" t="str">
        <x:v>参数映射与来源</x:v>
      </x:c>
      <x:c r="E87" s="50" t="str">
        <x:v>参数可绑定事实或人工输入，记录单位、校验和来源。</x:v>
      </x:c>
      <x:c r="F87" s="50" t="str">
        <x:v>部分完成</x:v>
      </x:c>
      <x:c r="G87" s="52" t="n">
        <x:v>0.45</x:v>
      </x:c>
      <x:c r="H87" s="50" t="str">
        <x:v>可从部分事实读取输入，并支持基础参数。</x:v>
      </x:c>
      <x:c r="I87" s="50" t="str">
        <x:v>映射、单位、来源和必填规则不完整。</x:v>
      </x:c>
      <x:c r="J87" s="50" t="str">
        <x:v>参数页显示事实来源；人工参数需说明；必填缺失时禁止运行。</x:v>
      </x:c>
      <x:c r="K87" s="50" t="str">
        <x:v>P1</x:v>
      </x:c>
      <x:c r="L87" s="50" t="str">
        <x:v>一期必选</x:v>
      </x:c>
      <x:c r="M87" s="50" t="str">
        <x:v>PDD V1.2 第5章</x:v>
      </x:c>
      <x:c r="N87" s="50" t="str">
        <x:v>待分配</x:v>
      </x:c>
      <x:c r="O87" s="54" t="n">
        <x:v>46206</x:v>
      </x:c>
      <x:c r="P87" s="50" t="str"/>
    </x:row>
    <x:row r="88" ht="66" customHeight="1">
      <x:c r="A88" s="50" t="str">
        <x:v>CHK-5.8-04</x:v>
      </x:c>
      <x:c r="B88" s="50" t="str">
        <x:v>5.8</x:v>
      </x:c>
      <x:c r="C88" s="50" t="str">
        <x:v>指标与投资测算</x:v>
      </x:c>
      <x:c r="D88" s="50" t="str">
        <x:v>计算运行、日志和结果</x:v>
      </x:c>
      <x:c r="E88" s="50" t="str">
        <x:v>执行模型并保存输入快照、状态、日志和结构化结果。</x:v>
      </x:c>
      <x:c r="F88" s="50" t="str">
        <x:v>部分完成</x:v>
      </x:c>
      <x:c r="G88" s="52" t="n">
        <x:v>0.5</x:v>
      </x:c>
      <x:c r="H88" s="50" t="str">
        <x:v>已有基础计算和结果数据。</x:v>
      </x:c>
      <x:c r="I88" s="50" t="str">
        <x:v>缺少隔离Worker、完整日志、输入快照和结果版本。</x:v>
      </x:c>
      <x:c r="J88" s="50" t="str">
        <x:v>每次计算生成run_id，输入/输出/日志可下载且可重复执行。</x:v>
      </x:c>
      <x:c r="K88" s="50" t="str">
        <x:v>P1</x:v>
      </x:c>
      <x:c r="L88" s="50" t="str">
        <x:v>一期必选</x:v>
      </x:c>
      <x:c r="M88" s="50" t="str">
        <x:v>PDD V1.2 第5章</x:v>
      </x:c>
      <x:c r="N88" s="50" t="str">
        <x:v>待分配</x:v>
      </x:c>
      <x:c r="O88" s="54" t="n">
        <x:v>46206</x:v>
      </x:c>
      <x:c r="P88" s="50" t="str"/>
    </x:row>
    <x:row r="89" ht="66" customHeight="1">
      <x:c r="A89" s="50" t="str">
        <x:v>CHK-5.8-05</x:v>
      </x:c>
      <x:c r="B89" s="50" t="str">
        <x:v>5.8</x:v>
      </x:c>
      <x:c r="C89" s="50" t="str">
        <x:v>指标与投资测算</x:v>
      </x:c>
      <x:c r="D89" s="50" t="str">
        <x:v>专业确认结果</x:v>
      </x:c>
      <x:c r="E89" s="50" t="str">
        <x:v>成功结果经专业人员确认后才可用于正式成果。</x:v>
      </x:c>
      <x:c r="F89" s="50" t="str">
        <x:v>部分完成</x:v>
      </x:c>
      <x:c r="G89" s="52" t="n">
        <x:v>0.4</x:v>
      </x:c>
      <x:c r="H89" s="50" t="str">
        <x:v>有基础确认信息。</x:v>
      </x:c>
      <x:c r="I89" s="50" t="str">
        <x:v>缺少权限、确认意见、锁定快照和正式引用门禁。</x:v>
      </x:c>
      <x:c r="J89" s="50" t="str">
        <x:v>未经确认结果不能发布；确认记录真实用户、时间和意见。</x:v>
      </x:c>
      <x:c r="K89" s="50" t="str">
        <x:v>P1</x:v>
      </x:c>
      <x:c r="L89" s="50" t="str">
        <x:v>一期必选</x:v>
      </x:c>
      <x:c r="M89" s="50" t="str">
        <x:v>PDD V1.2 第5章</x:v>
      </x:c>
      <x:c r="N89" s="50" t="str">
        <x:v>待分配</x:v>
      </x:c>
      <x:c r="O89" s="54" t="n">
        <x:v>46206</x:v>
      </x:c>
      <x:c r="P89" s="50" t="str"/>
    </x:row>
    <x:row r="90" ht="66" customHeight="1">
      <x:c r="A90" s="50" t="str">
        <x:v>CHK-5.8-06</x:v>
      </x:c>
      <x:c r="B90" s="50" t="str">
        <x:v>5.8</x:v>
      </x:c>
      <x:c r="C90" s="50" t="str">
        <x:v>指标与投资测算</x:v>
      </x:c>
      <x:c r="D90" s="50" t="str">
        <x:v>敏感性分析</x:v>
      </x:c>
      <x:c r="E90" s="50" t="str">
        <x:v>设置变量范围、批量运行场景并输出比较表和图。</x:v>
      </x:c>
      <x:c r="F90" s="50" t="str">
        <x:v>部分完成</x:v>
      </x:c>
      <x:c r="G90" s="52" t="n">
        <x:v>0.55</x:v>
      </x:c>
      <x:c r="H90" s="50" t="str">
        <x:v>已实现基础敏感性场景。</x:v>
      </x:c>
      <x:c r="I90" s="50" t="str">
        <x:v>场景模型、子任务、图表和版本不足。</x:v>
      </x:c>
      <x:c r="J90" s="50" t="str">
        <x:v>调整关键变量后输出多场景比较，保存参数和结果并可插入报告。</x:v>
      </x:c>
      <x:c r="K90" s="50" t="str">
        <x:v>P2</x:v>
      </x:c>
      <x:c r="L90" s="50" t="str">
        <x:v>一期轻量</x:v>
      </x:c>
      <x:c r="M90" s="50" t="str">
        <x:v>PDD V1.2 第5章</x:v>
      </x:c>
      <x:c r="N90" s="50" t="str">
        <x:v>待分配</x:v>
      </x:c>
      <x:c r="O90" s="54" t="n">
        <x:v>46206</x:v>
      </x:c>
      <x:c r="P90" s="50" t="str"/>
    </x:row>
    <x:row r="91" ht="66" customHeight="1">
      <x:c r="A91" s="50" t="str">
        <x:v>CHK-5.8-07</x:v>
      </x:c>
      <x:c r="B91" s="50" t="str">
        <x:v>5.8</x:v>
      </x:c>
      <x:c r="C91" s="50" t="str">
        <x:v>指标与投资测算</x:v>
      </x:c>
      <x:c r="D91" s="50" t="str">
        <x:v>公式链和可配置模型</x:v>
      </x:c>
      <x:c r="E91" s="50" t="str">
        <x:v>比例、公式、定额/指标库和舍入规则配置化、版本化。</x:v>
      </x:c>
      <x:c r="F91" s="50" t="str">
        <x:v>少量实现</x:v>
      </x:c>
      <x:c r="G91" s="52" t="n">
        <x:v>0.2</x:v>
      </x:c>
      <x:c r="H91" s="50" t="str">
        <x:v>当前默认比例和部分公式硬编码。</x:v>
      </x:c>
      <x:c r="I91" s="50" t="str">
        <x:v>无法证明与客户认可模型一致。</x:v>
      </x:c>
      <x:c r="J91" s="50" t="str">
        <x:v>公式链可查看；模型配置变更生成新版本；结果与基线Excel样例一致。</x:v>
      </x:c>
      <x:c r="K91" s="50" t="str">
        <x:v>P0</x:v>
      </x:c>
      <x:c r="L91" s="50" t="str">
        <x:v>一期必选</x:v>
      </x:c>
      <x:c r="M91" s="50" t="str">
        <x:v>PDD V1.2 第5章</x:v>
      </x:c>
      <x:c r="N91" s="50" t="str">
        <x:v>待分配</x:v>
      </x:c>
      <x:c r="O91" s="54" t="n">
        <x:v>46206</x:v>
      </x:c>
      <x:c r="P91" s="50" t="str"/>
    </x:row>
    <x:row r="92" ht="66" customHeight="1">
      <x:c r="A92" s="50" t="str">
        <x:v>CHK-5.8-08</x:v>
      </x:c>
      <x:c r="B92" s="50" t="str">
        <x:v>5.8</x:v>
      </x:c>
      <x:c r="C92" s="50" t="str">
        <x:v>指标与投资测算</x:v>
      </x:c>
      <x:c r="D92" s="50" t="str">
        <x:v>参数变化失效与重算</x:v>
      </x:c>
      <x:c r="E92" s="50" t="str">
        <x:v>事实或参数变化后关联运行标记 expired，触发重算和章节重检。</x:v>
      </x:c>
      <x:c r="F92" s="50" t="str">
        <x:v>未完成</x:v>
      </x:c>
      <x:c r="G92" s="52" t="n">
        <x:v>0</x:v>
      </x:c>
      <x:c r="H92" s="50" t="str">
        <x:v>未实现。</x:v>
      </x:c>
      <x:c r="I92" s="50" t="str">
        <x:v>成果可能继续引用旧估算。</x:v>
      </x:c>
      <x:c r="J92" s="50" t="str">
        <x:v>修改面积/单价后旧run显示过期，发布门禁要求重算并确认。</x:v>
      </x:c>
      <x:c r="K92" s="50" t="str">
        <x:v>P1</x:v>
      </x:c>
      <x:c r="L92" s="50" t="str">
        <x:v>一期必选</x:v>
      </x:c>
      <x:c r="M92" s="50" t="str">
        <x:v>PDD V1.2 第5章</x:v>
      </x:c>
      <x:c r="N92" s="50" t="str">
        <x:v>待分配</x:v>
      </x:c>
      <x:c r="O92" s="54" t="n">
        <x:v>46206</x:v>
      </x:c>
      <x:c r="P92" s="50" t="str"/>
    </x:row>
    <x:row r="93" ht="66" customHeight="1">
      <x:c r="A93" s="50" t="str">
        <x:v>CHK-5.8-09</x:v>
      </x:c>
      <x:c r="B93" s="50" t="str">
        <x:v>5.8</x:v>
      </x:c>
      <x:c r="C93" s="50" t="str">
        <x:v>指标与投资测算</x:v>
      </x:c>
      <x:c r="D93" s="50" t="str">
        <x:v>投资Excel成果</x:v>
      </x:c>
      <x:c r="E93" s="50" t="str">
        <x:v>输出完整估算明细、参数、公式、资金结构和敏感性分析。</x:v>
      </x:c>
      <x:c r="F93" s="50" t="str">
        <x:v>少量实现</x:v>
      </x:c>
      <x:c r="G93" s="52" t="n">
        <x:v>0.25</x:v>
      </x:c>
      <x:c r="H93" s="50" t="str">
        <x:v>Excel可输出事实、引用和质量问题。</x:v>
      </x:c>
      <x:c r="I93" s="50" t="str">
        <x:v>投资分解、公式和场景未完整写入Excel。</x:v>
      </x:c>
      <x:c r="J93" s="50" t="str">
        <x:v>导出的Excel可独立查看估算输入、公式链、结果和场景差异。</x:v>
      </x:c>
      <x:c r="K93" s="50" t="str">
        <x:v>P1</x:v>
      </x:c>
      <x:c r="L93" s="50" t="str">
        <x:v>一期必选</x:v>
      </x:c>
      <x:c r="M93" s="50" t="str">
        <x:v>PDD V1.2 第5章</x:v>
      </x:c>
      <x:c r="N93" s="50" t="str">
        <x:v>待分配</x:v>
      </x:c>
      <x:c r="O93" s="54" t="n">
        <x:v>46206</x:v>
      </x:c>
      <x:c r="P93" s="50" t="str"/>
    </x:row>
    <x:row r="94" ht="66" customHeight="1">
      <x:c r="A94" s="50" t="str">
        <x:v>CHK-5.8-10</x:v>
      </x:c>
      <x:c r="B94" s="50" t="str">
        <x:v>5.8</x:v>
      </x:c>
      <x:c r="C94" s="50" t="str">
        <x:v>指标与投资测算</x:v>
      </x:c>
      <x:c r="D94" s="50" t="str">
        <x:v>计算沙箱安全</x:v>
      </x:c>
      <x:c r="E94" s="50" t="str">
        <x:v>Excel模型禁宏、禁外网，在受限容器/进程运行。</x:v>
      </x:c>
      <x:c r="F94" s="50" t="str">
        <x:v>未完成</x:v>
      </x:c>
      <x:c r="G94" s="52" t="n">
        <x:v>0</x:v>
      </x:c>
      <x:c r="H94" s="50" t="str">
        <x:v>未发现正式沙箱策略。</x:v>
      </x:c>
      <x:c r="I94" s="50" t="str">
        <x:v>存在宏、外链和资源耗尽风险。</x:v>
      </x:c>
      <x:c r="J94" s="50" t="str">
        <x:v>上传含宏/外链模型被拒绝；超时任务被终止并保存日志。</x:v>
      </x:c>
      <x:c r="K94" s="50" t="str">
        <x:v>P0</x:v>
      </x:c>
      <x:c r="L94" s="50" t="str">
        <x:v>一期必选</x:v>
      </x:c>
      <x:c r="M94" s="50" t="str">
        <x:v>PDD V1.2 第5章</x:v>
      </x:c>
      <x:c r="N94" s="50" t="str">
        <x:v>待分配</x:v>
      </x:c>
      <x:c r="O94" s="54" t="n">
        <x:v>46206</x:v>
      </x:c>
      <x:c r="P94" s="50" t="str"/>
    </x:row>
    <x:row r="95" ht="66" customHeight="1">
      <x:c r="A95" s="50" t="str">
        <x:v>CHK-5.8-11</x:v>
      </x:c>
      <x:c r="B95" s="50" t="str">
        <x:v>5.8</x:v>
      </x:c>
      <x:c r="C95" s="50" t="str">
        <x:v>指标与投资测算</x:v>
      </x:c>
      <x:c r="D95" s="50" t="str">
        <x:v>REST无副作用原则</x:v>
      </x:c>
      <x:c r="E95" s="50" t="str">
        <x:v>GET只查询，不创建或提交估算数据。</x:v>
      </x:c>
      <x:c r="F95" s="50" t="str">
        <x:v>部分完成</x:v>
      </x:c>
      <x:c r="G95" s="52" t="n">
        <x:v>0.3</x:v>
      </x:c>
      <x:c r="H95" s="50" t="str">
        <x:v>现有GET接口可能创建并提交估算。</x:v>
      </x:c>
      <x:c r="I95" s="50" t="str">
        <x:v>违反REST语义，易造成隐式数据变化。</x:v>
      </x:c>
      <x:c r="J95" s="50" t="str">
        <x:v>重复GET不改变数据库；创建/重算必须使用POST。</x:v>
      </x:c>
      <x:c r="K95" s="50" t="str">
        <x:v>P1</x:v>
      </x:c>
      <x:c r="L95" s="50" t="str">
        <x:v>平台底座</x:v>
      </x:c>
      <x:c r="M95" s="50" t="str">
        <x:v>PDD V1.2 第5章</x:v>
      </x:c>
      <x:c r="N95" s="50" t="str">
        <x:v>待分配</x:v>
      </x:c>
      <x:c r="O95" s="54" t="n">
        <x:v>46206</x:v>
      </x:c>
      <x:c r="P95" s="50" t="str"/>
    </x:row>
    <x:row r="96" ht="66" customHeight="1">
      <x:c r="A96" s="50" t="str">
        <x:v>CHK-5.8-12</x:v>
      </x:c>
      <x:c r="B96" s="50" t="str">
        <x:v>5.8</x:v>
      </x:c>
      <x:c r="C96" s="50" t="str">
        <x:v>指标与投资测算</x:v>
      </x:c>
      <x:c r="D96" s="50" t="str">
        <x:v>精度与统一舍入</x:v>
      </x:c>
      <x:c r="E96" s="50" t="str">
        <x:v>金额保留计算精度与展示精度，汇总采用统一舍入规则。</x:v>
      </x:c>
      <x:c r="F96" s="50" t="str">
        <x:v>部分完成</x:v>
      </x:c>
      <x:c r="G96" s="52" t="n">
        <x:v>0.4</x:v>
      </x:c>
      <x:c r="H96" s="50" t="str">
        <x:v>已有基础金额和比例计算。</x:v>
      </x:c>
      <x:c r="I96" s="50" t="str">
        <x:v>未见统一精度策略和差额处理。</x:v>
      </x:c>
      <x:c r="J96" s="50" t="str">
        <x:v>分项求和与总额符合配置舍入规则，报告与Excel数值一致。</x:v>
      </x:c>
      <x:c r="K96" s="50" t="str">
        <x:v>P1</x:v>
      </x:c>
      <x:c r="L96" s="50" t="str">
        <x:v>一期必选</x:v>
      </x:c>
      <x:c r="M96" s="50" t="str">
        <x:v>PDD V1.2 第5章</x:v>
      </x:c>
      <x:c r="N96" s="50" t="str">
        <x:v>待分配</x:v>
      </x:c>
      <x:c r="O96" s="54" t="n">
        <x:v>46206</x:v>
      </x:c>
      <x:c r="P96" s="50" t="str"/>
    </x:row>
    <x:row r="97" ht="66" customHeight="1">
      <x:c r="A97" s="50" t="str">
        <x:v>CHK-5.9-01</x:v>
      </x:c>
      <x:c r="B97" s="50" t="str">
        <x:v>5.9</x:v>
      </x:c>
      <x:c r="C97" s="50" t="str">
        <x:v>方案决策与收敛</x:v>
      </x:c>
      <x:c r="D97" s="50" t="str">
        <x:v>设计目标与约束</x:v>
      </x:c>
      <x:c r="E97" s="50" t="str">
        <x:v>维护目标、硬约束、软约束、偏好、来源和验收方式。</x:v>
      </x:c>
      <x:c r="F97" s="50" t="str">
        <x:v>未完成</x:v>
      </x:c>
      <x:c r="G97" s="52" t="n">
        <x:v>0</x:v>
      </x:c>
      <x:c r="H97" s="50" t="str">
        <x:v>未实现正式模型。</x:v>
      </x:c>
      <x:c r="I97" s="50" t="str">
        <x:v>无法形成方案比较统一基线。</x:v>
      </x:c>
      <x:c r="J97" s="50" t="str">
        <x:v>可创建、确认、版本化并锁定目标/约束。</x:v>
      </x:c>
      <x:c r="K97" s="50" t="str">
        <x:v>P2</x:v>
      </x:c>
      <x:c r="L97" s="50" t="str">
        <x:v>后续阶段</x:v>
      </x:c>
      <x:c r="M97" s="50" t="str">
        <x:v>PDD V1.2 第5章</x:v>
      </x:c>
      <x:c r="N97" s="50" t="str">
        <x:v>待分配</x:v>
      </x:c>
      <x:c r="O97" s="54" t="n">
        <x:v>46206</x:v>
      </x:c>
      <x:c r="P97" s="50" t="str"/>
    </x:row>
    <x:row r="98" ht="66" customHeight="1">
      <x:c r="A98" s="50" t="str">
        <x:v>CHK-5.9-02</x:v>
      </x:c>
      <x:c r="B98" s="50" t="str">
        <x:v>5.9</x:v>
      </x:c>
      <x:c r="C98" s="50" t="str">
        <x:v>方案决策与收敛</x:v>
      </x:c>
      <x:c r="D98" s="50" t="str">
        <x:v>主创意图版本</x:v>
      </x:c>
      <x:c r="E98" s="50" t="str">
        <x:v>维护设计主题、空间叙事、文化表达、禁用方向和理由。</x:v>
      </x:c>
      <x:c r="F98" s="50" t="str">
        <x:v>未完成</x:v>
      </x:c>
      <x:c r="G98" s="52" t="n">
        <x:v>0</x:v>
      </x:c>
      <x:c r="H98" s="50" t="str">
        <x:v>未实现。</x:v>
      </x:c>
      <x:c r="I98" s="50" t="str">
        <x:v>主创判断无法独立于评分记录。</x:v>
      </x:c>
      <x:c r="J98" s="50" t="str">
        <x:v>主创意图可发布版本并关联候选方案。</x:v>
      </x:c>
      <x:c r="K98" s="50" t="str">
        <x:v>P3</x:v>
      </x:c>
      <x:c r="L98" s="50" t="str">
        <x:v>后续阶段</x:v>
      </x:c>
      <x:c r="M98" s="50" t="str">
        <x:v>PDD V1.2 第5章</x:v>
      </x:c>
      <x:c r="N98" s="50" t="str">
        <x:v>待分配</x:v>
      </x:c>
      <x:c r="O98" s="54" t="n">
        <x:v>46206</x:v>
      </x:c>
      <x:c r="P98" s="50" t="str"/>
    </x:row>
    <x:row r="99" ht="66" customHeight="1">
      <x:c r="A99" s="50" t="str">
        <x:v>CHK-5.9-03</x:v>
      </x:c>
      <x:c r="B99" s="50" t="str">
        <x:v>5.9</x:v>
      </x:c>
      <x:c r="C99" s="50" t="str">
        <x:v>方案决策与收敛</x:v>
      </x:c>
      <x:c r="D99" s="50" t="str">
        <x:v>候选方案池</x:v>
      </x:c>
      <x:c r="E99" s="50" t="str">
        <x:v>支持人工/AI方案新建、复制、归档、恢复和状态管理。</x:v>
      </x:c>
      <x:c r="F99" s="50" t="str">
        <x:v>未完成</x:v>
      </x:c>
      <x:c r="G99" s="52" t="n">
        <x:v>0</x:v>
      </x:c>
      <x:c r="H99" s="50" t="str">
        <x:v>仅有方案比选步骤提示。</x:v>
      </x:c>
      <x:c r="I99" s="50" t="str">
        <x:v>无方案实体、版本和状态。</x:v>
      </x:c>
      <x:c r="J99" s="50" t="str">
        <x:v>至少创建3个方案并显示来源、假设、状态和差异。</x:v>
      </x:c>
      <x:c r="K99" s="50" t="str">
        <x:v>P2</x:v>
      </x:c>
      <x:c r="L99" s="50" t="str">
        <x:v>后续阶段</x:v>
      </x:c>
      <x:c r="M99" s="50" t="str">
        <x:v>PDD V1.2 第5章</x:v>
      </x:c>
      <x:c r="N99" s="50" t="str">
        <x:v>待分配</x:v>
      </x:c>
      <x:c r="O99" s="54" t="n">
        <x:v>46206</x:v>
      </x:c>
      <x:c r="P99" s="50" t="str"/>
    </x:row>
    <x:row r="100" ht="66" customHeight="1">
      <x:c r="A100" s="50" t="str">
        <x:v>CHK-5.9-04</x:v>
      </x:c>
      <x:c r="B100" s="50" t="str">
        <x:v>5.9</x:v>
      </x:c>
      <x:c r="C100" s="50" t="str">
        <x:v>方案决策与收敛</x:v>
      </x:c>
      <x:c r="D100" s="50" t="str">
        <x:v>AI方案发散</x:v>
      </x:c>
      <x:c r="E100" s="50" t="str">
        <x:v>在统一约束下生成候选方向并标记AI来源。</x:v>
      </x:c>
      <x:c r="F100" s="50" t="str">
        <x:v>未完成</x:v>
      </x:c>
      <x:c r="G100" s="52" t="n">
        <x:v>0</x:v>
      </x:c>
      <x:c r="H100" s="50" t="str">
        <x:v>未实现。</x:v>
      </x:c>
      <x:c r="I100" s="50" t="str">
        <x:v>AI无法参与受控方案发散。</x:v>
      </x:c>
      <x:c r="J100" s="50" t="str">
        <x:v>AI输出不自动推荐；每个方向包含假设、差异和待验证项。</x:v>
      </x:c>
      <x:c r="K100" s="50" t="str">
        <x:v>P3</x:v>
      </x:c>
      <x:c r="L100" s="50" t="str">
        <x:v>后续阶段</x:v>
      </x:c>
      <x:c r="M100" s="50" t="str">
        <x:v>PDD V1.2 第5章</x:v>
      </x:c>
      <x:c r="N100" s="50" t="str">
        <x:v>待分配</x:v>
      </x:c>
      <x:c r="O100" s="54" t="n">
        <x:v>46206</x:v>
      </x:c>
      <x:c r="P100" s="50" t="str"/>
    </x:row>
    <x:row r="101" ht="66" customHeight="1">
      <x:c r="A101" s="50" t="str">
        <x:v>CHK-5.9-05</x:v>
      </x:c>
      <x:c r="B101" s="50" t="str">
        <x:v>5.9</x:v>
      </x:c>
      <x:c r="C101" s="50" t="str">
        <x:v>方案决策与收敛</x:v>
      </x:c>
      <x:c r="D101" s="50" t="str">
        <x:v>聚类去重与代表方案</x:v>
      </x:c>
      <x:c r="E101" s="50" t="str">
        <x:v>对相似方案聚类，支持人工拆分/合并和保留代表。</x:v>
      </x:c>
      <x:c r="F101" s="50" t="str">
        <x:v>未完成</x:v>
      </x:c>
      <x:c r="G101" s="52" t="n">
        <x:v>0</x:v>
      </x:c>
      <x:c r="H101" s="50" t="str">
        <x:v>未实现。</x:v>
      </x:c>
      <x:c r="I101" s="50" t="str">
        <x:v>候选多时无法收敛。</x:v>
      </x:c>
      <x:c r="J101" s="50" t="str">
        <x:v>聚类结果可人工修订且记录理由。</x:v>
      </x:c>
      <x:c r="K101" s="50" t="str">
        <x:v>P3</x:v>
      </x:c>
      <x:c r="L101" s="50" t="str">
        <x:v>后续阶段</x:v>
      </x:c>
      <x:c r="M101" s="50" t="str">
        <x:v>PDD V1.2 第5章</x:v>
      </x:c>
      <x:c r="N101" s="50" t="str">
        <x:v>待分配</x:v>
      </x:c>
      <x:c r="O101" s="54" t="n">
        <x:v>46206</x:v>
      </x:c>
      <x:c r="P101" s="50" t="str"/>
    </x:row>
    <x:row r="102" ht="66" customHeight="1">
      <x:c r="A102" s="50" t="str">
        <x:v>CHK-5.9-06</x:v>
      </x:c>
      <x:c r="B102" s="50" t="str">
        <x:v>5.9</x:v>
      </x:c>
      <x:c r="C102" s="50" t="str">
        <x:v>方案决策与收敛</x:v>
      </x:c>
      <x:c r="D102" s="50" t="str">
        <x:v>硬约束检查</x:v>
      </x:c>
      <x:c r="E102" s="50" t="str">
        <x:v>方案违反硬约束时不得直接推荐。</x:v>
      </x:c>
      <x:c r="F102" s="50" t="str">
        <x:v>未完成</x:v>
      </x:c>
      <x:c r="G102" s="52" t="n">
        <x:v>0</x:v>
      </x:c>
      <x:c r="H102" s="50" t="str">
        <x:v>未实现方案级规则。</x:v>
      </x:c>
      <x:c r="I102" s="50" t="str">
        <x:v>方案推荐缺乏底线约束。</x:v>
      </x:c>
      <x:c r="J102" s="50" t="str">
        <x:v>运行约束检查输出证据和状态；豁免需授权人记录依据。</x:v>
      </x:c>
      <x:c r="K102" s="50" t="str">
        <x:v>P2</x:v>
      </x:c>
      <x:c r="L102" s="50" t="str">
        <x:v>后续阶段</x:v>
      </x:c>
      <x:c r="M102" s="50" t="str">
        <x:v>PDD V1.2 第5章</x:v>
      </x:c>
      <x:c r="N102" s="50" t="str">
        <x:v>待分配</x:v>
      </x:c>
      <x:c r="O102" s="54" t="n">
        <x:v>46206</x:v>
      </x:c>
      <x:c r="P102" s="50" t="str"/>
    </x:row>
    <x:row r="103" ht="66" customHeight="1">
      <x:c r="A103" s="50" t="str">
        <x:v>CHK-5.9-07</x:v>
      </x:c>
      <x:c r="B103" s="50" t="str">
        <x:v>5.9</x:v>
      </x:c>
      <x:c r="C103" s="50" t="str">
        <x:v>方案决策与收敛</x:v>
      </x:c>
      <x:c r="D103" s="50" t="str">
        <x:v>比较矩阵</x:v>
      </x:c>
      <x:c r="E103" s="50" t="str">
        <x:v>配置指标、权重、评分、证据和缺失项，锁定比较快照。</x:v>
      </x:c>
      <x:c r="F103" s="50" t="str">
        <x:v>少量实现</x:v>
      </x:c>
      <x:c r="G103" s="52" t="n">
        <x:v>0.1</x:v>
      </x:c>
      <x:c r="H103" s="50" t="str">
        <x:v>页面有轻量方案比选提示。</x:v>
      </x:c>
      <x:c r="I103" s="50" t="str">
        <x:v>无真实方案、指标、权重、评分和接口。</x:v>
      </x:c>
      <x:c r="J103" s="50" t="str">
        <x:v>同一快照使用一致事实/模型/时间点；缺失指标显示不可比。</x:v>
      </x:c>
      <x:c r="K103" s="50" t="str">
        <x:v>P2</x:v>
      </x:c>
      <x:c r="L103" s="50" t="str">
        <x:v>一期轻量</x:v>
      </x:c>
      <x:c r="M103" s="50" t="str">
        <x:v>PDD V1.2 第5章</x:v>
      </x:c>
      <x:c r="N103" s="50" t="str">
        <x:v>待分配</x:v>
      </x:c>
      <x:c r="O103" s="54" t="n">
        <x:v>46206</x:v>
      </x:c>
      <x:c r="P103" s="50" t="str"/>
    </x:row>
    <x:row r="104" ht="66" customHeight="1">
      <x:c r="A104" s="50" t="str">
        <x:v>CHK-5.9-08</x:v>
      </x:c>
      <x:c r="B104" s="50" t="str">
        <x:v>5.9</x:v>
      </x:c>
      <x:c r="C104" s="50" t="str">
        <x:v>方案决策与收敛</x:v>
      </x:c>
      <x:c r="D104" s="50" t="str">
        <x:v>多方评价与分歧</x:v>
      </x:c>
      <x:c r="E104" s="50" t="str">
        <x:v>分别保存专家、主创、业主和专业评价并识别分歧。</x:v>
      </x:c>
      <x:c r="F104" s="50" t="str">
        <x:v>未完成</x:v>
      </x:c>
      <x:c r="G104" s="52" t="n">
        <x:v>0</x:v>
      </x:c>
      <x:c r="H104" s="50" t="str">
        <x:v>未实现。</x:v>
      </x:c>
      <x:c r="I104" s="50" t="str">
        <x:v>无法解释不同角色意见冲突。</x:v>
      </x:c>
      <x:c r="J104" s="50" t="str">
        <x:v>评价带角色和证据；冲突进入分歧中心，不按人数自动关闭。</x:v>
      </x:c>
      <x:c r="K104" s="50" t="str">
        <x:v>P3</x:v>
      </x:c>
      <x:c r="L104" s="50" t="str">
        <x:v>后续阶段</x:v>
      </x:c>
      <x:c r="M104" s="50" t="str">
        <x:v>PDD V1.2 第5章</x:v>
      </x:c>
      <x:c r="N104" s="50" t="str">
        <x:v>待分配</x:v>
      </x:c>
      <x:c r="O104" s="54" t="n">
        <x:v>46206</x:v>
      </x:c>
      <x:c r="P104" s="50" t="str"/>
    </x:row>
    <x:row r="105" ht="66" customHeight="1">
      <x:c r="A105" s="50" t="str">
        <x:v>CHK-5.9-09</x:v>
      </x:c>
      <x:c r="B105" s="50" t="str">
        <x:v>5.9</x:v>
      </x:c>
      <x:c r="C105" s="50" t="str">
        <x:v>方案决策与收敛</x:v>
      </x:c>
      <x:c r="D105" s="50" t="str">
        <x:v>权重敏感性分析</x:v>
      </x:c>
      <x:c r="E105" s="50" t="str">
        <x:v>比较不同权重场景下排名变化和稳定性。</x:v>
      </x:c>
      <x:c r="F105" s="50" t="str">
        <x:v>未完成</x:v>
      </x:c>
      <x:c r="G105" s="52" t="n">
        <x:v>0</x:v>
      </x:c>
      <x:c r="H105" s="50" t="str">
        <x:v>投资模块有基础敏感性，但不是方案权重敏感性。</x:v>
      </x:c>
      <x:c r="I105" s="50" t="str">
        <x:v>无法识别排名对权重的依赖。</x:v>
      </x:c>
      <x:c r="J105" s="50" t="str">
        <x:v>至少3种权重情景输出排名变化并保存快照。</x:v>
      </x:c>
      <x:c r="K105" s="50" t="str">
        <x:v>P3</x:v>
      </x:c>
      <x:c r="L105" s="50" t="str">
        <x:v>后续阶段</x:v>
      </x:c>
      <x:c r="M105" s="50" t="str">
        <x:v>PDD V1.2 第5章</x:v>
      </x:c>
      <x:c r="N105" s="50" t="str">
        <x:v>待分配</x:v>
      </x:c>
      <x:c r="O105" s="54" t="n">
        <x:v>46206</x:v>
      </x:c>
      <x:c r="P105" s="50" t="str"/>
    </x:row>
    <x:row r="106" ht="66" customHeight="1">
      <x:c r="A106" s="50" t="str">
        <x:v>CHK-5.9-10</x:v>
      </x:c>
      <x:c r="B106" s="50" t="str">
        <x:v>5.9</x:v>
      </x:c>
      <x:c r="C106" s="50" t="str">
        <x:v>方案决策与收敛</x:v>
      </x:c>
      <x:c r="D106" s="50" t="str">
        <x:v>收敛建议</x:v>
      </x:c>
      <x:c r="E106" s="50" t="str">
        <x:v>建议保留主方案、吸收其他优点、补充调研和重新验证条件。</x:v>
      </x:c>
      <x:c r="F106" s="50" t="str">
        <x:v>未完成</x:v>
      </x:c>
      <x:c r="G106" s="52" t="n">
        <x:v>0</x:v>
      </x:c>
      <x:c r="H106" s="50" t="str">
        <x:v>未实现。</x:v>
      </x:c>
      <x:c r="I106" s="50" t="str">
        <x:v>系统不能辅助从多方案收敛。</x:v>
      </x:c>
      <x:c r="J106" s="50" t="str">
        <x:v>建议明确组合来源和需重新验证的约束，需人工确认。</x:v>
      </x:c>
      <x:c r="K106" s="50" t="str">
        <x:v>P3</x:v>
      </x:c>
      <x:c r="L106" s="50" t="str">
        <x:v>后续阶段</x:v>
      </x:c>
      <x:c r="M106" s="50" t="str">
        <x:v>PDD V1.2 第5章</x:v>
      </x:c>
      <x:c r="N106" s="50" t="str">
        <x:v>待分配</x:v>
      </x:c>
      <x:c r="O106" s="54" t="n">
        <x:v>46206</x:v>
      </x:c>
      <x:c r="P106" s="50" t="str"/>
    </x:row>
    <x:row r="107" ht="66" customHeight="1">
      <x:c r="A107" s="50" t="str">
        <x:v>CHK-5.9-11</x:v>
      </x:c>
      <x:c r="B107" s="50" t="str">
        <x:v>5.9</x:v>
      </x:c>
      <x:c r="C107" s="50" t="str">
        <x:v>方案决策与收敛</x:v>
      </x:c>
      <x:c r="D107" s="50" t="str">
        <x:v>决策会议和任务</x:v>
      </x:c>
      <x:c r="E107" s="50" t="str">
        <x:v>记录关键差异、未决事项和会议结论，并生成任务。</x:v>
      </x:c>
      <x:c r="F107" s="50" t="str">
        <x:v>未完成</x:v>
      </x:c>
      <x:c r="G107" s="52" t="n">
        <x:v>0</x:v>
      </x:c>
      <x:c r="H107" s="50" t="str">
        <x:v>未实现会议实体。</x:v>
      </x:c>
      <x:c r="I107" s="50" t="str">
        <x:v>决策过程缺少正式记录和任务闭环。</x:v>
      </x:c>
      <x:c r="J107" s="50" t="str">
        <x:v>关闭会议后生成不可覆盖决策记录、任务和方案状态。</x:v>
      </x:c>
      <x:c r="K107" s="50" t="str">
        <x:v>P3</x:v>
      </x:c>
      <x:c r="L107" s="50" t="str">
        <x:v>后续阶段</x:v>
      </x:c>
      <x:c r="M107" s="50" t="str">
        <x:v>PDD V1.2 第5章</x:v>
      </x:c>
      <x:c r="N107" s="50" t="str">
        <x:v>待分配</x:v>
      </x:c>
      <x:c r="O107" s="54" t="n">
        <x:v>46206</x:v>
      </x:c>
      <x:c r="P107" s="50" t="str"/>
    </x:row>
    <x:row r="108" ht="66" customHeight="1">
      <x:c r="A108" s="50" t="str">
        <x:v>CHK-5.9-12</x:v>
      </x:c>
      <x:c r="B108" s="50" t="str">
        <x:v>5.9</x:v>
      </x:c>
      <x:c r="C108" s="50" t="str">
        <x:v>方案决策与收敛</x:v>
      </x:c>
      <x:c r="D108" s="50" t="str">
        <x:v>基础决策记录</x:v>
      </x:c>
      <x:c r="E108" s="50" t="str">
        <x:v>成果包包含方案、依据、结论、责任人和反对意见。</x:v>
      </x:c>
      <x:c r="F108" s="50" t="str">
        <x:v>少量实现</x:v>
      </x:c>
      <x:c r="G108" s="52" t="n">
        <x:v>0.15</x:v>
      </x:c>
      <x:c r="H108" s="50" t="str">
        <x:v>ZIP可生成基础决策记录.txt。</x:v>
      </x:c>
      <x:c r="I108" s="50" t="str">
        <x:v>内容主要为数量汇总和通用说明。</x:v>
      </x:c>
      <x:c r="J108" s="50" t="str">
        <x:v>记录真实备选方案、评价依据、结论、责任人、日期和反对意见。</x:v>
      </x:c>
      <x:c r="K108" s="50" t="str">
        <x:v>P1</x:v>
      </x:c>
      <x:c r="L108" s="50" t="str">
        <x:v>一期轻量</x:v>
      </x:c>
      <x:c r="M108" s="50" t="str">
        <x:v>PDD V1.2 第5章</x:v>
      </x:c>
      <x:c r="N108" s="50" t="str">
        <x:v>待分配</x:v>
      </x:c>
      <x:c r="O108" s="54" t="n">
        <x:v>46206</x:v>
      </x:c>
      <x:c r="P108" s="50" t="str"/>
    </x:row>
    <x:row r="109" ht="66" customHeight="1">
      <x:c r="A109" s="50" t="str">
        <x:v>CHK-5.9-13</x:v>
      </x:c>
      <x:c r="B109" s="50" t="str">
        <x:v>5.9</x:v>
      </x:c>
      <x:c r="C109" s="50" t="str">
        <x:v>方案决策与收敛</x:v>
      </x:c>
      <x:c r="D109" s="50" t="str">
        <x:v>分层冻结与变更</x:v>
      </x:c>
      <x:c r="E109" s="50" t="str">
        <x:v>按设计方向、布局、面积、投资和风格冻结，变更需影响评估和审批。</x:v>
      </x:c>
      <x:c r="F109" s="50" t="str">
        <x:v>未完成</x:v>
      </x:c>
      <x:c r="G109" s="52" t="n">
        <x:v>0</x:v>
      </x:c>
      <x:c r="H109" s="50" t="str">
        <x:v>未实现。</x:v>
      </x:c>
      <x:c r="I109" s="50" t="str">
        <x:v>无法控制深化和效果图基线。</x:v>
      </x:c>
      <x:c r="J109" s="50" t="str">
        <x:v>冻结前执行门禁；变更批准后生成新冻结版本，原版本不覆盖。</x:v>
      </x:c>
      <x:c r="K109" s="50" t="str">
        <x:v>P3</x:v>
      </x:c>
      <x:c r="L109" s="50" t="str">
        <x:v>后续阶段</x:v>
      </x:c>
      <x:c r="M109" s="50" t="str">
        <x:v>PDD V1.2 第5章</x:v>
      </x:c>
      <x:c r="N109" s="50" t="str">
        <x:v>待分配</x:v>
      </x:c>
      <x:c r="O109" s="54" t="n">
        <x:v>46206</x:v>
      </x:c>
      <x:c r="P109" s="50" t="str"/>
    </x:row>
    <x:row r="110" ht="66" customHeight="1">
      <x:c r="A110" s="50" t="str">
        <x:v>CHK-5.9-14</x:v>
      </x:c>
      <x:c r="B110" s="50" t="str">
        <x:v>5.9</x:v>
      </x:c>
      <x:c r="C110" s="50" t="str">
        <x:v>方案决策与收敛</x:v>
      </x:c>
      <x:c r="D110" s="50" t="str">
        <x:v>效果图任务书</x:v>
      </x:c>
      <x:c r="E110" s="50" t="str">
        <x:v>绑定冻结方案/模型版本，维护视角、材料、光照和禁用元素。</x:v>
      </x:c>
      <x:c r="F110" s="50" t="str">
        <x:v>未完成</x:v>
      </x:c>
      <x:c r="G110" s="52" t="n">
        <x:v>0</x:v>
      </x:c>
      <x:c r="H110" s="50" t="str">
        <x:v>未实现。</x:v>
      </x:c>
      <x:c r="I110" s="50" t="str">
        <x:v>AI效果图缺少受控输入和责任边界。</x:v>
      </x:c>
      <x:c r="J110" s="50" t="str">
        <x:v>任务书由主创确认，可导出并追溯冻结版本。</x:v>
      </x:c>
      <x:c r="K110" s="50" t="str">
        <x:v>P3</x:v>
      </x:c>
      <x:c r="L110" s="50" t="str">
        <x:v>后续阶段</x:v>
      </x:c>
      <x:c r="M110" s="50" t="str">
        <x:v>PDD V1.2 第5章</x:v>
      </x:c>
      <x:c r="N110" s="50" t="str">
        <x:v>待分配</x:v>
      </x:c>
      <x:c r="O110" s="54" t="n">
        <x:v>46206</x:v>
      </x:c>
      <x:c r="P110" s="50" t="str"/>
    </x:row>
    <x:row r="111" ht="66" customHeight="1">
      <x:c r="A111" s="50" t="str">
        <x:v>CHK-5.9-15</x:v>
      </x:c>
      <x:c r="B111" s="50" t="str">
        <x:v>5.9</x:v>
      </x:c>
      <x:c r="C111" s="50" t="str">
        <x:v>方案决策与收敛</x:v>
      </x:c>
      <x:c r="D111" s="50" t="str">
        <x:v>AI不替代最终决策</x:v>
      </x:c>
      <x:c r="E111" s="50" t="str">
        <x:v>AI不得自动改变权重、关闭分歧、淘汰、推荐或冻结方案。</x:v>
      </x:c>
      <x:c r="F111" s="50" t="str">
        <x:v>未完成</x:v>
      </x:c>
      <x:c r="G111" s="52" t="n">
        <x:v>0</x:v>
      </x:c>
      <x:c r="H111" s="50" t="str">
        <x:v>尚无相关业务流程。</x:v>
      </x:c>
      <x:c r="I111" s="50" t="str">
        <x:v>后续实现时需防止自动决策越权。</x:v>
      </x:c>
      <x:c r="J111" s="50" t="str">
        <x:v>所有高风险状态变化均由授权用户执行并留不可覆盖记录。</x:v>
      </x:c>
      <x:c r="K111" s="50" t="str">
        <x:v>P2</x:v>
      </x:c>
      <x:c r="L111" s="50" t="str">
        <x:v>全阶段</x:v>
      </x:c>
      <x:c r="M111" s="50" t="str">
        <x:v>PDD V1.2 第5章</x:v>
      </x:c>
      <x:c r="N111" s="50" t="str">
        <x:v>待分配</x:v>
      </x:c>
      <x:c r="O111" s="54" t="n">
        <x:v>46206</x:v>
      </x:c>
      <x:c r="P111" s="50" t="str"/>
    </x:row>
    <x:row r="112" ht="66" customHeight="1">
      <x:c r="A112" s="50" t="str">
        <x:v>CHK-5.10-01</x:v>
      </x:c>
      <x:c r="B112" s="50" t="str">
        <x:v>5.10</x:v>
      </x:c>
      <x:c r="C112" s="50" t="str">
        <x:v>质量检查与审核</x:v>
      </x:c>
      <x:c r="D112" s="50" t="str">
        <x:v>质量检查运行</x:v>
      </x:c>
      <x:c r="E112" s="50" t="str">
        <x:v>对项目/章节/事实/计算执行规则并生成运行摘要。</x:v>
      </x:c>
      <x:c r="F112" s="50" t="str">
        <x:v>部分完成</x:v>
      </x:c>
      <x:c r="G112" s="52" t="n">
        <x:v>0.5</x:v>
      </x:c>
      <x:c r="H112" s="50" t="str">
        <x:v>已有基础质量检查入口和硬编码规则。</x:v>
      </x:c>
      <x:c r="I112" s="50" t="str">
        <x:v>缺少规则版本、运行范围和完整摘要。</x:v>
      </x:c>
      <x:c r="J112" s="50" t="str">
        <x:v>每次检查生成qc_run，记录规则集版本、范围、状态和统计。</x:v>
      </x:c>
      <x:c r="K112" s="50" t="str">
        <x:v>P1</x:v>
      </x:c>
      <x:c r="L112" s="50" t="str">
        <x:v>一期必选</x:v>
      </x:c>
      <x:c r="M112" s="50" t="str">
        <x:v>PDD V1.2 第5章</x:v>
      </x:c>
      <x:c r="N112" s="50" t="str">
        <x:v>待分配</x:v>
      </x:c>
      <x:c r="O112" s="54" t="n">
        <x:v>46206</x:v>
      </x:c>
      <x:c r="P112" s="50" t="str"/>
    </x:row>
    <x:row r="113" ht="66" customHeight="1">
      <x:c r="A113" s="50" t="str">
        <x:v>CHK-5.10-02</x:v>
      </x:c>
      <x:c r="B113" s="50" t="str">
        <x:v>5.10</x:v>
      </x:c>
      <x:c r="C113" s="50" t="str">
        <x:v>质量检查与审核</x:v>
      </x:c>
      <x:c r="D113" s="50" t="str">
        <x:v>问题中心</x:v>
      </x:c>
      <x:c r="E113" s="50" t="str">
        <x:v>展示问题级别、类型、位置、证据、责任人和状态，支持响应/复核/关闭。</x:v>
      </x:c>
      <x:c r="F113" s="50" t="str">
        <x:v>部分完成</x:v>
      </x:c>
      <x:c r="G113" s="52" t="n">
        <x:v>0.55</x:v>
      </x:c>
      <x:c r="H113" s="50" t="str">
        <x:v>存在质量问题列表和关闭操作。</x:v>
      </x:c>
      <x:c r="I113" s="50" t="str">
        <x:v>关闭不要求证据、复检、审核人或真实权限。</x:v>
      </x:c>
      <x:c r="J113" s="50" t="str">
        <x:v>问题可分配责任人；关闭前需响应证据和指定审核人复核。</x:v>
      </x:c>
      <x:c r="K113" s="50" t="str">
        <x:v>P1</x:v>
      </x:c>
      <x:c r="L113" s="50" t="str">
        <x:v>一期必选</x:v>
      </x:c>
      <x:c r="M113" s="50" t="str">
        <x:v>PDD V1.2 第5章</x:v>
      </x:c>
      <x:c r="N113" s="50" t="str">
        <x:v>待分配</x:v>
      </x:c>
      <x:c r="O113" s="54" t="n">
        <x:v>46206</x:v>
      </x:c>
      <x:c r="P113" s="50" t="str"/>
    </x:row>
    <x:row r="114" ht="66" customHeight="1">
      <x:c r="A114" s="50" t="str">
        <x:v>CHK-5.10-03</x:v>
      </x:c>
      <x:c r="B114" s="50" t="str">
        <x:v>5.10</x:v>
      </x:c>
      <x:c r="C114" s="50" t="str">
        <x:v>质量检查与审核</x:v>
      </x:c>
      <x:c r="D114" s="50" t="str">
        <x:v>规则配置化和版本化</x:v>
      </x:c>
      <x:c r="E114" s="50" t="str">
        <x:v>质量规则从 qc_rule/version 加载，而不是硬编码。</x:v>
      </x:c>
      <x:c r="F114" s="50" t="str">
        <x:v>少量实现</x:v>
      </x:c>
      <x:c r="G114" s="52" t="n">
        <x:v>0.15</x:v>
      </x:c>
      <x:c r="H114" s="50" t="str">
        <x:v>数据库有QualityRule概念。</x:v>
      </x:c>
      <x:c r="I114" s="50" t="str">
        <x:v>执行逻辑仍硬编码，规则表未真正驱动。</x:v>
      </x:c>
      <x:c r="J114" s="50" t="str">
        <x:v>修改规则配置无需改代码；检查结果记录规则版本。</x:v>
      </x:c>
      <x:c r="K114" s="50" t="str">
        <x:v>P0</x:v>
      </x:c>
      <x:c r="L114" s="50" t="str">
        <x:v>一期必选</x:v>
      </x:c>
      <x:c r="M114" s="50" t="str">
        <x:v>PDD V1.2 第5章</x:v>
      </x:c>
      <x:c r="N114" s="50" t="str">
        <x:v>待分配</x:v>
      </x:c>
      <x:c r="O114" s="54" t="n">
        <x:v>46206</x:v>
      </x:c>
      <x:c r="P114" s="50" t="str"/>
    </x:row>
    <x:row r="115" ht="66" customHeight="1">
      <x:c r="A115" s="50" t="str">
        <x:v>CHK-5.10-04</x:v>
      </x:c>
      <x:c r="B115" s="50" t="str">
        <x:v>5.10</x:v>
      </x:c>
      <x:c r="C115" s="50" t="str">
        <x:v>质量检查与审核</x:v>
      </x:c>
      <x:c r="D115" s="50" t="str">
        <x:v>完整性和一致性规则</x:v>
      </x:c>
      <x:c r="E115" s="50" t="str">
        <x:v>检查必填事实、单位格式、跨表一致、公式重算、引用有效、数据过期和版本依赖。</x:v>
      </x:c>
      <x:c r="F115" s="50" t="str">
        <x:v>少量实现</x:v>
      </x:c>
      <x:c r="G115" s="52" t="n">
        <x:v>0.25</x:v>
      </x:c>
      <x:c r="H115" s="50" t="str">
        <x:v>已检查文档未解析、事实冲突、部分数字异常、引用不足和章节状态。</x:v>
      </x:c>
      <x:c r="I115" s="50" t="str">
        <x:v>大量一期关键规则缺失。</x:v>
      </x:c>
      <x:c r="J115" s="50" t="str">
        <x:v>构造错误样例可分别触发缺失、单位、跨表、公式、引用和过期问题。</x:v>
      </x:c>
      <x:c r="K115" s="50" t="str">
        <x:v>P0</x:v>
      </x:c>
      <x:c r="L115" s="50" t="str">
        <x:v>一期必选</x:v>
      </x:c>
      <x:c r="M115" s="50" t="str">
        <x:v>PDD V1.2 第5章</x:v>
      </x:c>
      <x:c r="N115" s="50" t="str">
        <x:v>待分配</x:v>
      </x:c>
      <x:c r="O115" s="54" t="n">
        <x:v>46206</x:v>
      </x:c>
      <x:c r="P115" s="50" t="str"/>
    </x:row>
    <x:row r="116" ht="66" customHeight="1">
      <x:c r="A116" s="50" t="str">
        <x:v>CHK-5.10-05</x:v>
      </x:c>
      <x:c r="B116" s="50" t="str">
        <x:v>5.10</x:v>
      </x:c>
      <x:c r="C116" s="50" t="str">
        <x:v>质量检查与审核</x:v>
      </x:c>
      <x:c r="D116" s="50" t="str">
        <x:v>稳定指纹与增量重检</x:v>
      </x:c>
      <x:c r="E116" s="50" t="str">
        <x:v>同一问题重检更新而不重复创建；变化时只重检受影响范围。</x:v>
      </x:c>
      <x:c r="F116" s="50" t="str">
        <x:v>未完成</x:v>
      </x:c>
      <x:c r="G116" s="52" t="n">
        <x:v>0</x:v>
      </x:c>
      <x:c r="H116" s="50" t="str">
        <x:v>未实现稳定指纹/依赖增量重检。</x:v>
      </x:c>
      <x:c r="I116" s="50" t="str">
        <x:v>问题可能重复且检查成本高。</x:v>
      </x:c>
      <x:c r="J116" s="50" t="str">
        <x:v>重复运行同一规则不新增重复问题；事实变化只重检依赖对象。</x:v>
      </x:c>
      <x:c r="K116" s="50" t="str">
        <x:v>P2</x:v>
      </x:c>
      <x:c r="L116" s="50" t="str">
        <x:v>后续阶段</x:v>
      </x:c>
      <x:c r="M116" s="50" t="str">
        <x:v>PDD V1.2 第5章</x:v>
      </x:c>
      <x:c r="N116" s="50" t="str">
        <x:v>待分配</x:v>
      </x:c>
      <x:c r="O116" s="54" t="n">
        <x:v>46206</x:v>
      </x:c>
      <x:c r="P116" s="50" t="str"/>
    </x:row>
    <x:row r="117" ht="66" customHeight="1">
      <x:c r="A117" s="50" t="str">
        <x:v>CHK-5.10-06</x:v>
      </x:c>
      <x:c r="B117" s="50" t="str">
        <x:v>5.10</x:v>
      </x:c>
      <x:c r="C117" s="50" t="str">
        <x:v>质量检查与审核</x:v>
      </x:c>
      <x:c r="D117" s="50" t="str">
        <x:v>正式审核任务和意见</x:v>
      </x:c>
      <x:c r="E117" s="50" t="str">
        <x:v>章节/事实/计算/成果通过 review_task、comment、退回和复审。</x:v>
      </x:c>
      <x:c r="F117" s="50" t="str">
        <x:v>少量实现</x:v>
      </x:c>
      <x:c r="G117" s="52" t="n">
        <x:v>0.15</x:v>
      </x:c>
      <x:c r="H117" s="50" t="str">
        <x:v>现有审核主要是直接修改状态。</x:v>
      </x:c>
      <x:c r="I117" s="50" t="str">
        <x:v>无审核人、截止时间、意见锚点和会签。</x:v>
      </x:c>
      <x:c r="J117" s="50" t="str">
        <x:v>指定审核人才能通过/退回；意见锚定对象版本并保留历史。</x:v>
      </x:c>
      <x:c r="K117" s="50" t="str">
        <x:v>P0</x:v>
      </x:c>
      <x:c r="L117" s="50" t="str">
        <x:v>一期必选</x:v>
      </x:c>
      <x:c r="M117" s="50" t="str">
        <x:v>PDD V1.2 第5章</x:v>
      </x:c>
      <x:c r="N117" s="50" t="str">
        <x:v>待分配</x:v>
      </x:c>
      <x:c r="O117" s="54" t="n">
        <x:v>46206</x:v>
      </x:c>
      <x:c r="P117" s="50" t="str"/>
    </x:row>
    <x:row r="118" ht="66" customHeight="1">
      <x:c r="A118" s="50" t="str">
        <x:v>CHK-5.10-07</x:v>
      </x:c>
      <x:c r="B118" s="50" t="str">
        <x:v>5.10</x:v>
      </x:c>
      <x:c r="C118" s="50" t="str">
        <x:v>质量检查与审核</x:v>
      </x:c>
      <x:c r="D118" s="50" t="str">
        <x:v>版本差异</x:v>
      </x:c>
      <x:c r="E118" s="50" t="str">
        <x:v>审核人可查看基线与当前版本差异并定位意见。</x:v>
      </x:c>
      <x:c r="F118" s="50" t="str">
        <x:v>未完成</x:v>
      </x:c>
      <x:c r="G118" s="52" t="n">
        <x:v>0</x:v>
      </x:c>
      <x:c r="H118" s="50" t="str">
        <x:v>无章节/事实/成果版本。</x:v>
      </x:c>
      <x:c r="I118" s="50" t="str">
        <x:v>无法进行有效复审。</x:v>
      </x:c>
      <x:c r="J118" s="50" t="str">
        <x:v>审核页面展示增删改差异并能跳转关联意见。</x:v>
      </x:c>
      <x:c r="K118" s="50" t="str">
        <x:v>P1</x:v>
      </x:c>
      <x:c r="L118" s="50" t="str">
        <x:v>一期必选</x:v>
      </x:c>
      <x:c r="M118" s="50" t="str">
        <x:v>PDD V1.2 第5章</x:v>
      </x:c>
      <x:c r="N118" s="50" t="str">
        <x:v>待分配</x:v>
      </x:c>
      <x:c r="O118" s="54" t="n">
        <x:v>46206</x:v>
      </x:c>
      <x:c r="P118" s="50" t="str"/>
    </x:row>
    <x:row r="119" ht="66" customHeight="1">
      <x:c r="A119" s="50" t="str">
        <x:v>CHK-5.10-08</x:v>
      </x:c>
      <x:c r="B119" s="50" t="str">
        <x:v>5.10</x:v>
      </x:c>
      <x:c r="C119" s="50" t="str">
        <x:v>质量检查与审核</x:v>
      </x:c>
      <x:c r="D119" s="50" t="str">
        <x:v>发布门禁</x:v>
      </x:c>
      <x:c r="E119" s="50" t="str">
        <x:v>汇总事实、引用、数字、审核和声明状态，决定是否允许正式发布。</x:v>
      </x:c>
      <x:c r="F119" s="50" t="str">
        <x:v>部分完成</x:v>
      </x:c>
      <x:c r="G119" s="52" t="n">
        <x:v>0.35</x:v>
      </x:c>
      <x:c r="H119" s="50" t="str">
        <x:v>成果生成前会检查部分问题。</x:v>
      </x:c>
      <x:c r="I119" s="50" t="str">
        <x:v>门禁维度和证据快照不完整。</x:v>
      </x:c>
      <x:c r="J119" s="50" t="str">
        <x:v>门禁结果列出全部阻断项；通过后形成不可变gate_snapshot。</x:v>
      </x:c>
      <x:c r="K119" s="50" t="str">
        <x:v>P0</x:v>
      </x:c>
      <x:c r="L119" s="50" t="str">
        <x:v>一期必选</x:v>
      </x:c>
      <x:c r="M119" s="50" t="str">
        <x:v>PDD V1.2 第5章</x:v>
      </x:c>
      <x:c r="N119" s="50" t="str">
        <x:v>待分配</x:v>
      </x:c>
      <x:c r="O119" s="54" t="n">
        <x:v>46206</x:v>
      </x:c>
      <x:c r="P119" s="50" t="str"/>
    </x:row>
    <x:row r="120" ht="66" customHeight="1">
      <x:c r="A120" s="50" t="str">
        <x:v>CHK-5.10-09</x:v>
      </x:c>
      <x:c r="B120" s="50" t="str">
        <x:v>5.10</x:v>
      </x:c>
      <x:c r="C120" s="50" t="str">
        <x:v>质量检查与审核</x:v>
      </x:c>
      <x:c r="D120" s="50" t="str">
        <x:v>严重问题阻止发布</x:v>
      </x:c>
      <x:c r="E120" s="50" t="str">
        <x:v>严重及阻断问题按配置阻止正式成果发布。</x:v>
      </x:c>
      <x:c r="F120" s="50" t="str">
        <x:v>少量实现</x:v>
      </x:c>
      <x:c r="G120" s="52" t="n">
        <x:v>0.2</x:v>
      </x:c>
      <x:c r="H120" s="50" t="str">
        <x:v>系统只阻止“阻断”级问题。</x:v>
      </x:c>
      <x:c r="I120" s="50" t="str">
        <x:v>事实冲突和数字异常标为“严重”但仍可生成成果。</x:v>
      </x:c>
      <x:c r="J120" s="50" t="str">
        <x:v>存在未关闭严重/阻断问题时发布接口返回失败；修复复检后才可通过。</x:v>
      </x:c>
      <x:c r="K120" s="50" t="str">
        <x:v>P0</x:v>
      </x:c>
      <x:c r="L120" s="50" t="str">
        <x:v>一期必选</x:v>
      </x:c>
      <x:c r="M120" s="50" t="str">
        <x:v>PDD V1.2 第5章</x:v>
      </x:c>
      <x:c r="N120" s="50" t="str">
        <x:v>待分配</x:v>
      </x:c>
      <x:c r="O120" s="54" t="n">
        <x:v>46206</x:v>
      </x:c>
      <x:c r="P120" s="50" t="str"/>
    </x:row>
    <x:row r="121" ht="66" customHeight="1">
      <x:c r="A121" s="50" t="str">
        <x:v>CHK-5.10-10</x:v>
      </x:c>
      <x:c r="B121" s="50" t="str">
        <x:v>5.10</x:v>
      </x:c>
      <x:c r="C121" s="50" t="str">
        <x:v>质量检查与审核</x:v>
      </x:c>
      <x:c r="D121" s="50" t="str">
        <x:v>问题关闭权限</x:v>
      </x:c>
      <x:c r="E121" s="50" t="str">
        <x:v>阻断和专业判断问题只能由指定审核人关闭。</x:v>
      </x:c>
      <x:c r="F121" s="50" t="str">
        <x:v>少量实现</x:v>
      </x:c>
      <x:c r="G121" s="52" t="n">
        <x:v>0.1</x:v>
      </x:c>
      <x:c r="H121" s="50" t="str">
        <x:v>任意登录用户可能关闭问题。</x:v>
      </x:c>
      <x:c r="I121" s="50" t="str">
        <x:v>缺少角色、项目和问题类型权限。</x:v>
      </x:c>
      <x:c r="J121" s="50" t="str">
        <x:v>普通编辑人不能关闭阻断问题；操作记录真实审核人。</x:v>
      </x:c>
      <x:c r="K121" s="50" t="str">
        <x:v>P0</x:v>
      </x:c>
      <x:c r="L121" s="50" t="str">
        <x:v>一期必选</x:v>
      </x:c>
      <x:c r="M121" s="50" t="str">
        <x:v>PDD V1.2 第5章</x:v>
      </x:c>
      <x:c r="N121" s="50" t="str">
        <x:v>待分配</x:v>
      </x:c>
      <x:c r="O121" s="54" t="n">
        <x:v>46206</x:v>
      </x:c>
      <x:c r="P121" s="50" t="str"/>
    </x:row>
    <x:row r="122" ht="66" customHeight="1">
      <x:c r="A122" s="50" t="str">
        <x:v>CHK-5.10-11</x:v>
      </x:c>
      <x:c r="B122" s="50" t="str">
        <x:v>5.10</x:v>
      </x:c>
      <x:c r="C122" s="50" t="str">
        <x:v>质量检查与审核</x:v>
      </x:c>
      <x:c r="D122" s="50" t="str">
        <x:v>状态迁移校验</x:v>
      </x:c>
      <x:c r="E122" s="50" t="str">
        <x:v>章节、问题、审核和成果状态只能按允许路径变化。</x:v>
      </x:c>
      <x:c r="F122" s="50" t="str">
        <x:v>未完成</x:v>
      </x:c>
      <x:c r="G122" s="52" t="n">
        <x:v>0</x:v>
      </x:c>
      <x:c r="H122" s="50" t="str">
        <x:v>可直接修改状态并跳过中间步骤。</x:v>
      </x:c>
      <x:c r="I122" s="50" t="str">
        <x:v>流程门禁可被绕过。</x:v>
      </x:c>
      <x:c r="J122" s="50" t="str">
        <x:v>非法状态跳转返回冲突；每次迁移记录前后状态和操作者。</x:v>
      </x:c>
      <x:c r="K122" s="50" t="str">
        <x:v>P0</x:v>
      </x:c>
      <x:c r="L122" s="50" t="str">
        <x:v>一期必选</x:v>
      </x:c>
      <x:c r="M122" s="50" t="str">
        <x:v>PDD V1.2 第5章</x:v>
      </x:c>
      <x:c r="N122" s="50" t="str">
        <x:v>待分配</x:v>
      </x:c>
      <x:c r="O122" s="54" t="n">
        <x:v>46206</x:v>
      </x:c>
      <x:c r="P122" s="50" t="str"/>
    </x:row>
    <x:row r="123" ht="66" customHeight="1">
      <x:c r="A123" s="50" t="str">
        <x:v>CHK-5.10-12</x:v>
      </x:c>
      <x:c r="B123" s="50" t="str">
        <x:v>5.10</x:v>
      </x:c>
      <x:c r="C123" s="50" t="str">
        <x:v>质量检查与审核</x:v>
      </x:c>
      <x:c r="D123" s="50" t="str">
        <x:v>冻结门禁与决策分歧</x:v>
      </x:c>
      <x:c r="E123" s="50" t="str">
        <x:v>方案冻结门禁与成果发布门禁分别执行。</x:v>
      </x:c>
      <x:c r="F123" s="50" t="str">
        <x:v>未完成</x:v>
      </x:c>
      <x:c r="G123" s="52" t="n">
        <x:v>0</x:v>
      </x:c>
      <x:c r="H123" s="50" t="str">
        <x:v>未实现。</x:v>
      </x:c>
      <x:c r="I123" s="50" t="str">
        <x:v>属于后续方案治理能力。</x:v>
      </x:c>
      <x:c r="J123" s="50" t="str">
        <x:v>冻结门禁检查推荐、硬约束、评价和签署；不等同成果发布。</x:v>
      </x:c>
      <x:c r="K123" s="50" t="str">
        <x:v>P3</x:v>
      </x:c>
      <x:c r="L123" s="50" t="str">
        <x:v>后续阶段</x:v>
      </x:c>
      <x:c r="M123" s="50" t="str">
        <x:v>PDD V1.2 第5章</x:v>
      </x:c>
      <x:c r="N123" s="50" t="str">
        <x:v>待分配</x:v>
      </x:c>
      <x:c r="O123" s="54" t="n">
        <x:v>46206</x:v>
      </x:c>
      <x:c r="P123" s="50" t="str"/>
    </x:row>
    <x:row r="124" ht="66" customHeight="1">
      <x:c r="A124" s="50" t="str">
        <x:v>CHK-5.10-13</x:v>
      </x:c>
      <x:c r="B124" s="50" t="str">
        <x:v>5.10</x:v>
      </x:c>
      <x:c r="C124" s="50" t="str">
        <x:v>质量检查与审核</x:v>
      </x:c>
      <x:c r="D124" s="50" t="str">
        <x:v>检查部分失败处理</x:v>
      </x:c>
      <x:c r="E124" s="50" t="str">
        <x:v>部分规则失败时整体不得显示通过，并明确未完成规则。</x:v>
      </x:c>
      <x:c r="F124" s="50" t="str">
        <x:v>少量实现</x:v>
      </x:c>
      <x:c r="G124" s="52" t="n">
        <x:v>0.2</x:v>
      </x:c>
      <x:c r="H124" s="50" t="str">
        <x:v>有基础检查结果。</x:v>
      </x:c>
      <x:c r="I124" s="50" t="str">
        <x:v>未确认规则异常和部分失败语义。</x:v>
      </x:c>
      <x:c r="J124" s="50" t="str">
        <x:v>模拟单条规则异常，运行状态标记部分失败，发布门禁按策略阻断。</x:v>
      </x:c>
      <x:c r="K124" s="50" t="str">
        <x:v>P1</x:v>
      </x:c>
      <x:c r="L124" s="50" t="str">
        <x:v>一期必选</x:v>
      </x:c>
      <x:c r="M124" s="50" t="str">
        <x:v>PDD V1.2 第5章</x:v>
      </x:c>
      <x:c r="N124" s="50" t="str">
        <x:v>待分配</x:v>
      </x:c>
      <x:c r="O124" s="54" t="n">
        <x:v>46206</x:v>
      </x:c>
      <x:c r="P124" s="50" t="str"/>
    </x:row>
    <x:row r="125" ht="66" customHeight="1">
      <x:c r="A125" s="50" t="str">
        <x:v>CHK-5.11-01</x:v>
      </x:c>
      <x:c r="B125" s="50" t="str">
        <x:v>5.11</x:v>
      </x:c>
      <x:c r="C125" s="50" t="str">
        <x:v>成果输出与归档</x:v>
      </x:c>
      <x:c r="D125" s="50" t="str">
        <x:v>Word/Excel/PPT/PDF/ZIP生成</x:v>
      </x:c>
      <x:c r="E125" s="50" t="str">
        <x:v>生成主要成果文件并记录成果列表。</x:v>
      </x:c>
      <x:c r="F125" s="50" t="str">
        <x:v>基本完成</x:v>
      </x:c>
      <x:c r="G125" s="52" t="n">
        <x:v>0.8</x:v>
      </x:c>
      <x:c r="H125" s="50" t="str">
        <x:v>独立验证可生成并打开Word、Excel、PPT、PDF和ZIP。</x:v>
      </x:c>
      <x:c r="I125" s="50" t="str">
        <x:v>正式模板、版本和归档治理不足。</x:v>
      </x:c>
      <x:c r="J125" s="50" t="str">
        <x:v>全流程样例生成文件可打开且内容完整，任务失败可定位。</x:v>
      </x:c>
      <x:c r="K125" s="50" t="str">
        <x:v>P1</x:v>
      </x:c>
      <x:c r="L125" s="50" t="str">
        <x:v>一期必选</x:v>
      </x:c>
      <x:c r="M125" s="50" t="str">
        <x:v>PDD V1.2 第5章</x:v>
      </x:c>
      <x:c r="N125" s="50" t="str">
        <x:v>待分配</x:v>
      </x:c>
      <x:c r="O125" s="54" t="n">
        <x:v>46206</x:v>
      </x:c>
      <x:c r="P125" s="50" t="str"/>
    </x:row>
    <x:row r="126" ht="66" customHeight="1">
      <x:c r="A126" s="50" t="str">
        <x:v>CHK-5.11-02</x:v>
      </x:c>
      <x:c r="B126" s="50" t="str">
        <x:v>5.11</x:v>
      </x:c>
      <x:c r="C126" s="50" t="str">
        <x:v>成果输出与归档</x:v>
      </x:c>
      <x:c r="D126" s="50" t="str">
        <x:v>结构化内容渲染</x:v>
      </x:c>
      <x:c r="E126" s="50" t="str">
        <x:v>Word从章节结构化内容和绑定数据渲染，不直接复制浏览器HTML。</x:v>
      </x:c>
      <x:c r="F126" s="50" t="str">
        <x:v>部分完成</x:v>
      </x:c>
      <x:c r="G126" s="52" t="n">
        <x:v>0.6</x:v>
      </x:c>
      <x:c r="H126" s="50" t="str">
        <x:v>Word已能写入章节正文和引用。</x:v>
      </x:c>
      <x:c r="I126" s="50" t="str">
        <x:v>尚未形成完整JSON文档模型、绑定节点和复杂表格渲染。</x:v>
      </x:c>
      <x:c r="J126" s="50" t="str">
        <x:v>章节表格、引用、事实绑定和图片在Word中正确呈现。</x:v>
      </x:c>
      <x:c r="K126" s="50" t="str">
        <x:v>P1</x:v>
      </x:c>
      <x:c r="L126" s="50" t="str">
        <x:v>一期必选</x:v>
      </x:c>
      <x:c r="M126" s="50" t="str">
        <x:v>PDD V1.2 第5章</x:v>
      </x:c>
      <x:c r="N126" s="50" t="str">
        <x:v>待分配</x:v>
      </x:c>
      <x:c r="O126" s="54" t="n">
        <x:v>46206</x:v>
      </x:c>
      <x:c r="P126" s="50" t="str"/>
    </x:row>
    <x:row r="127" ht="66" customHeight="1">
      <x:c r="A127" s="50" t="str">
        <x:v>CHK-5.11-03</x:v>
      </x:c>
      <x:c r="B127" s="50" t="str">
        <x:v>5.11</x:v>
      </x:c>
      <x:c r="C127" s="50" t="str">
        <x:v>成果输出与归档</x:v>
      </x:c>
      <x:c r="D127" s="50" t="str">
        <x:v>正式输出模板样式</x:v>
      </x:c>
      <x:c r="E127" s="50" t="str">
        <x:v>目录、编号、页眉页脚、表格、图片和引用格式由模板控制。</x:v>
      </x:c>
      <x:c r="F127" s="50" t="str">
        <x:v>部分完成</x:v>
      </x:c>
      <x:c r="G127" s="52" t="n">
        <x:v>0.3</x:v>
      </x:c>
      <x:c r="H127" s="50" t="str">
        <x:v>已有基础文件生成与简单样式。</x:v>
      </x:c>
      <x:c r="I127" s="50" t="str">
        <x:v>缺少客户级正式模板和Office兼容性规范。</x:v>
      </x:c>
      <x:c r="J127" s="50" t="str">
        <x:v>使用客户模板生成目录、页码、编号、页眉页脚和规范表格。</x:v>
      </x:c>
      <x:c r="K127" s="50" t="str">
        <x:v>P1</x:v>
      </x:c>
      <x:c r="L127" s="50" t="str">
        <x:v>一期必选</x:v>
      </x:c>
      <x:c r="M127" s="50" t="str">
        <x:v>PDD V1.2 第5章</x:v>
      </x:c>
      <x:c r="N127" s="50" t="str">
        <x:v>待分配</x:v>
      </x:c>
      <x:c r="O127" s="54" t="n">
        <x:v>46206</x:v>
      </x:c>
      <x:c r="P127" s="50" t="str"/>
    </x:row>
    <x:row r="128" ht="66" customHeight="1">
      <x:c r="A128" s="50" t="str">
        <x:v>CHK-5.11-04</x:v>
      </x:c>
      <x:c r="B128" s="50" t="str">
        <x:v>5.11</x:v>
      </x:c>
      <x:c r="C128" s="50" t="str">
        <x:v>成果输出与归档</x:v>
      </x:c>
      <x:c r="D128" s="50" t="str">
        <x:v>成果列表、详情和下载</x:v>
      </x:c>
      <x:c r="E128" s="50" t="str">
        <x:v>按类型、版本、状态、时间、发布人和密级管理成果。</x:v>
      </x:c>
      <x:c r="F128" s="50" t="str">
        <x:v>部分完成</x:v>
      </x:c>
      <x:c r="G128" s="52" t="n">
        <x:v>0.6</x:v>
      </x:c>
      <x:c r="H128" s="50" t="str">
        <x:v>已有成果列表和下载能力。</x:v>
      </x:c>
      <x:c r="I128" s="50" t="str">
        <x:v>版本、发布人、密级、权限和下载日志不足。</x:v>
      </x:c>
      <x:c r="J128" s="50" t="str">
        <x:v>成果详情展示生成快照、状态、版本和权限；下载记录真实用户。</x:v>
      </x:c>
      <x:c r="K128" s="50" t="str">
        <x:v>P1</x:v>
      </x:c>
      <x:c r="L128" s="50" t="str">
        <x:v>一期必选</x:v>
      </x:c>
      <x:c r="M128" s="50" t="str">
        <x:v>PDD V1.2 第5章</x:v>
      </x:c>
      <x:c r="N128" s="50" t="str">
        <x:v>待分配</x:v>
      </x:c>
      <x:c r="O128" s="54" t="n">
        <x:v>46206</x:v>
      </x:c>
      <x:c r="P128" s="50" t="str"/>
    </x:row>
    <x:row r="129" ht="66" customHeight="1">
      <x:c r="A129" s="50" t="str">
        <x:v>CHK-5.11-05</x:v>
      </x:c>
      <x:c r="B129" s="50" t="str">
        <x:v>5.11</x:v>
      </x:c>
      <x:c r="C129" s="50" t="str">
        <x:v>成果输出与归档</x:v>
      </x:c>
      <x:c r="D129" s="50" t="str">
        <x:v>成果预览</x:v>
      </x:c>
      <x:c r="E129" s="50" t="str">
        <x:v>在受控方式下预览Word/PDF等成果。</x:v>
      </x:c>
      <x:c r="F129" s="50" t="str">
        <x:v>部分完成</x:v>
      </x:c>
      <x:c r="G129" s="52" t="n">
        <x:v>0.3</x:v>
      </x:c>
      <x:c r="H129" s="50" t="str">
        <x:v>具备文件生成和下载。</x:v>
      </x:c>
      <x:c r="I129" s="50" t="str">
        <x:v>预览服务及错误定位不完整。</x:v>
      </x:c>
      <x:c r="J129" s="50" t="str">
        <x:v>无需暴露对象存储地址即可预览；预览失败提供受控下载。</x:v>
      </x:c>
      <x:c r="K129" s="50" t="str">
        <x:v>P2</x:v>
      </x:c>
      <x:c r="L129" s="50" t="str">
        <x:v>一期轻量</x:v>
      </x:c>
      <x:c r="M129" s="50" t="str">
        <x:v>PDD V1.2 第5章</x:v>
      </x:c>
      <x:c r="N129" s="50" t="str">
        <x:v>待分配</x:v>
      </x:c>
      <x:c r="O129" s="54" t="n">
        <x:v>46206</x:v>
      </x:c>
      <x:c r="P129" s="50" t="str"/>
    </x:row>
    <x:row r="130" ht="66" customHeight="1">
      <x:c r="A130" s="50" t="str">
        <x:v>CHK-5.11-06</x:v>
      </x:c>
      <x:c r="B130" s="50" t="str">
        <x:v>5.11</x:v>
      </x:c>
      <x:c r="C130" s="50" t="str">
        <x:v>成果输出与归档</x:v>
      </x:c>
      <x:c r="D130" s="50" t="str">
        <x:v>草稿/审核版/正式版状态</x:v>
      </x:c>
      <x:c r="E130" s="50" t="str">
        <x:v>成果区分draft、review、released，并执行对应门禁和水印。</x:v>
      </x:c>
      <x:c r="F130" s="50" t="str">
        <x:v>少量实现</x:v>
      </x:c>
      <x:c r="G130" s="52" t="n">
        <x:v>0.15</x:v>
      </x:c>
      <x:c r="H130" s="50" t="str">
        <x:v>成果存在基础状态。</x:v>
      </x:c>
      <x:c r="I130" s="50" t="str">
        <x:v>没有完整状态分层、审核水印和发布动作。</x:v>
      </x:c>
      <x:c r="J130" s="50" t="str">
        <x:v>草稿可含非阻断问题；审核版加水印；正式版必须门禁通过。</x:v>
      </x:c>
      <x:c r="K130" s="50" t="str">
        <x:v>P0</x:v>
      </x:c>
      <x:c r="L130" s="50" t="str">
        <x:v>一期必选</x:v>
      </x:c>
      <x:c r="M130" s="50" t="str">
        <x:v>PDD V1.2 第5章</x:v>
      </x:c>
      <x:c r="N130" s="50" t="str">
        <x:v>待分配</x:v>
      </x:c>
      <x:c r="O130" s="54" t="n">
        <x:v>46206</x:v>
      </x:c>
      <x:c r="P130" s="50" t="str"/>
    </x:row>
    <x:row r="131" ht="66" customHeight="1">
      <x:c r="A131" s="50" t="str">
        <x:v>CHK-5.11-07</x:v>
      </x:c>
      <x:c r="B131" s="50" t="str">
        <x:v>5.11</x:v>
      </x:c>
      <x:c r="C131" s="50" t="str">
        <x:v>成果输出与归档</x:v>
      </x:c>
      <x:c r="D131" s="50" t="str">
        <x:v>不可变成果版本</x:v>
      </x:c>
      <x:c r="E131" s="50" t="str">
        <x:v>artifact 与 artifact_version 分离，发布版只读且不可覆盖。</x:v>
      </x:c>
      <x:c r="F131" s="50" t="str">
        <x:v>少量实现</x:v>
      </x:c>
      <x:c r="G131" s="52" t="n">
        <x:v>0.1</x:v>
      </x:c>
      <x:c r="H131" s="50" t="str">
        <x:v>重新生成可能覆盖旧路径。</x:v>
      </x:c>
      <x:c r="I131" s="50" t="str">
        <x:v>无不可变物理版本、哈希和内容快照。</x:v>
      </x:c>
      <x:c r="J131" s="50" t="str">
        <x:v>每次生成产生新版本；旧发布文件路径和哈希不变化。</x:v>
      </x:c>
      <x:c r="K131" s="50" t="str">
        <x:v>P0</x:v>
      </x:c>
      <x:c r="L131" s="50" t="str">
        <x:v>一期必选</x:v>
      </x:c>
      <x:c r="M131" s="50" t="str">
        <x:v>PDD V1.2 第5章</x:v>
      </x:c>
      <x:c r="N131" s="50" t="str">
        <x:v>待分配</x:v>
      </x:c>
      <x:c r="O131" s="54" t="n">
        <x:v>46206</x:v>
      </x:c>
      <x:c r="P131" s="50" t="str"/>
    </x:row>
    <x:row r="132" ht="66" customHeight="1">
      <x:c r="A132" s="50" t="str">
        <x:v>CHK-5.11-08</x:v>
      </x:c>
      <x:c r="B132" s="50" t="str">
        <x:v>5.11</x:v>
      </x:c>
      <x:c r="C132" s="50" t="str">
        <x:v>成果输出与归档</x:v>
      </x:c>
      <x:c r="D132" s="50" t="str">
        <x:v>成果修订版</x:v>
      </x:c>
      <x:c r="E132" s="50" t="str">
        <x:v>发布后修订复制内容到新版本并记录变更范围。</x:v>
      </x:c>
      <x:c r="F132" s="50" t="str">
        <x:v>未完成</x:v>
      </x:c>
      <x:c r="G132" s="52" t="n">
        <x:v>0</x:v>
      </x:c>
      <x:c r="H132" s="50" t="str">
        <x:v>未实现。</x:v>
      </x:c>
      <x:c r="I132" s="50" t="str">
        <x:v>正式成果无法规范修订。</x:v>
      </x:c>
      <x:c r="J132" s="50" t="str">
        <x:v>创建修订版不修改原版；发布详情显示修订链和说明。</x:v>
      </x:c>
      <x:c r="K132" s="50" t="str">
        <x:v>P1</x:v>
      </x:c>
      <x:c r="L132" s="50" t="str">
        <x:v>一期必选</x:v>
      </x:c>
      <x:c r="M132" s="50" t="str">
        <x:v>PDD V1.2 第5章</x:v>
      </x:c>
      <x:c r="N132" s="50" t="str">
        <x:v>待分配</x:v>
      </x:c>
      <x:c r="O132" s="54" t="n">
        <x:v>46206</x:v>
      </x:c>
      <x:c r="P132" s="50" t="str"/>
    </x:row>
    <x:row r="133" ht="66" customHeight="1">
      <x:c r="A133" s="50" t="str">
        <x:v>CHK-5.11-09</x:v>
      </x:c>
      <x:c r="B133" s="50" t="str">
        <x:v>5.11</x:v>
      </x:c>
      <x:c r="C133" s="50" t="str">
        <x:v>成果输出与归档</x:v>
      </x:c>
      <x:c r="D133" s="50" t="str">
        <x:v>归档包manifest与校验</x:v>
      </x:c>
      <x:c r="E133" s="50" t="str">
        <x:v>归档包包含文件路径、版本、哈希、来源、密级和相关日志。</x:v>
      </x:c>
      <x:c r="F133" s="50" t="str">
        <x:v>少量实现</x:v>
      </x:c>
      <x:c r="G133" s="52" t="n">
        <x:v>0.1</x:v>
      </x:c>
      <x:c r="H133" s="50" t="str">
        <x:v>ZIP包含基础文件和简单决策记录。</x:v>
      </x:c>
      <x:c r="I133" s="50" t="str">
        <x:v>无manifest.json、checksum、完整快照和归档状态。</x:v>
      </x:c>
      <x:c r="J133" s="50" t="str">
        <x:v>解压包包含manifest；逐文件哈希校验通过；可追溯模板、事实、审核和计算版本。</x:v>
      </x:c>
      <x:c r="K133" s="50" t="str">
        <x:v>P0</x:v>
      </x:c>
      <x:c r="L133" s="50" t="str">
        <x:v>一期必选</x:v>
      </x:c>
      <x:c r="M133" s="50" t="str">
        <x:v>PDD V1.2 第5章</x:v>
      </x:c>
      <x:c r="N133" s="50" t="str">
        <x:v>待分配</x:v>
      </x:c>
      <x:c r="O133" s="54" t="n">
        <x:v>46206</x:v>
      </x:c>
      <x:c r="P133" s="50" t="str"/>
    </x:row>
    <x:row r="134" ht="66" customHeight="1">
      <x:c r="A134" s="50" t="str">
        <x:v>CHK-5.11-10</x:v>
      </x:c>
      <x:c r="B134" s="50" t="str">
        <x:v>5.11</x:v>
      </x:c>
      <x:c r="C134" s="50" t="str">
        <x:v>成果输出与归档</x:v>
      </x:c>
      <x:c r="D134" s="50" t="str">
        <x:v>方案决策类成果</x:v>
      </x:c>
      <x:c r="E134" s="50" t="str">
        <x:v>输出比较矩阵、分歧、决策记录、冻结/变更和效果图任务书。</x:v>
      </x:c>
      <x:c r="F134" s="50" t="str">
        <x:v>少量实现</x:v>
      </x:c>
      <x:c r="G134" s="52" t="n">
        <x:v>0.1</x:v>
      </x:c>
      <x:c r="H134" s="50" t="str">
        <x:v>仅有基础决策记录文本。</x:v>
      </x:c>
      <x:c r="I134" s="50" t="str">
        <x:v>完整方案治理成果未实现。</x:v>
      </x:c>
      <x:c r="J134" s="50" t="str">
        <x:v>归档包包含真实方案比较与决策链。</x:v>
      </x:c>
      <x:c r="K134" s="50" t="str">
        <x:v>P3</x:v>
      </x:c>
      <x:c r="L134" s="50" t="str">
        <x:v>后续阶段</x:v>
      </x:c>
      <x:c r="M134" s="50" t="str">
        <x:v>PDD V1.2 第5章</x:v>
      </x:c>
      <x:c r="N134" s="50" t="str">
        <x:v>待分配</x:v>
      </x:c>
      <x:c r="O134" s="54" t="n">
        <x:v>46206</x:v>
      </x:c>
      <x:c r="P134" s="50" t="str"/>
    </x:row>
    <x:row r="135" ht="66" customHeight="1">
      <x:c r="A135" s="50" t="str">
        <x:v>CHK-5.11-11</x:v>
      </x:c>
      <x:c r="B135" s="50" t="str">
        <x:v>5.11</x:v>
      </x:c>
      <x:c r="C135" s="50" t="str">
        <x:v>成果输出与归档</x:v>
      </x:c>
      <x:c r="D135" s="50" t="str">
        <x:v>下载鉴权与审计</x:v>
      </x:c>
      <x:c r="E135" s="50" t="str">
        <x:v>下载使用项目权限、短期签名或流式代理并记录日志。</x:v>
      </x:c>
      <x:c r="F135" s="50" t="str">
        <x:v>少量实现</x:v>
      </x:c>
      <x:c r="G135" s="52" t="n">
        <x:v>0.1</x:v>
      </x:c>
      <x:c r="H135" s="50" t="str">
        <x:v>成果下载接口存在。</x:v>
      </x:c>
      <x:c r="I135" s="50" t="str">
        <x:v>下载接口缺少身份和项目权限校验。</x:v>
      </x:c>
      <x:c r="J135" s="50" t="str">
        <x:v>未登录或无项目权限下载返回拒绝；日志记录用户、IP、文件和时间。</x:v>
      </x:c>
      <x:c r="K135" s="50" t="str">
        <x:v>P0</x:v>
      </x:c>
      <x:c r="L135" s="50" t="str">
        <x:v>一期必选</x:v>
      </x:c>
      <x:c r="M135" s="50" t="str">
        <x:v>PDD V1.2 第5章</x:v>
      </x:c>
      <x:c r="N135" s="50" t="str">
        <x:v>待分配</x:v>
      </x:c>
      <x:c r="O135" s="54" t="n">
        <x:v>46206</x:v>
      </x:c>
      <x:c r="P135" s="50" t="str"/>
    </x:row>
    <x:row r="136" ht="66" customHeight="1">
      <x:c r="A136" s="50" t="str">
        <x:v>CHK-5.11-12</x:v>
      </x:c>
      <x:c r="B136" s="50" t="str">
        <x:v>5.11</x:v>
      </x:c>
      <x:c r="C136" s="50" t="str">
        <x:v>成果输出与归档</x:v>
      </x:c>
      <x:c r="D136" s="50" t="str">
        <x:v>Office兼容性验证</x:v>
      </x:c>
      <x:c r="E136" s="50" t="str">
        <x:v>兼容性检查失败时禁止正式发布并定位具体对象。</x:v>
      </x:c>
      <x:c r="F136" s="50" t="str">
        <x:v>未完成</x:v>
      </x:c>
      <x:c r="G136" s="52" t="n">
        <x:v>0</x:v>
      </x:c>
      <x:c r="H136" s="50" t="str">
        <x:v>生成文件可在当前环境打开。</x:v>
      </x:c>
      <x:c r="I136" s="50" t="str">
        <x:v>没有自动兼容性验证和发布门禁。</x:v>
      </x:c>
      <x:c r="J136" s="50" t="str">
        <x:v>在目标Office/LibreOffice环境执行自动检查，失败时返回页/对象级错误。</x:v>
      </x:c>
      <x:c r="K136" s="50" t="str">
        <x:v>P2</x:v>
      </x:c>
      <x:c r="L136" s="50" t="str">
        <x:v>一期轻量</x:v>
      </x:c>
      <x:c r="M136" s="50" t="str">
        <x:v>PDD V1.2 第5章</x:v>
      </x:c>
      <x:c r="N136" s="50" t="str">
        <x:v>待分配</x:v>
      </x:c>
      <x:c r="O136" s="54" t="n">
        <x:v>46206</x:v>
      </x:c>
      <x:c r="P136" s="50" t="str"/>
    </x:row>
    <x:row r="137" ht="66" customHeight="1">
      <x:c r="A137" s="50" t="str">
        <x:v>CHK-5.11-13</x:v>
      </x:c>
      <x:c r="B137" s="50" t="str">
        <x:v>5.11</x:v>
      </x:c>
      <x:c r="C137" s="50" t="str">
        <x:v>成果输出与归档</x:v>
      </x:c>
      <x:c r="D137" s="50" t="str">
        <x:v>导出失败重试与日志</x:v>
      </x:c>
      <x:c r="E137" s="50" t="str">
        <x:v>保留内容快照和日志，修复模板后可基于原快照重试。</x:v>
      </x:c>
      <x:c r="F137" s="50" t="str">
        <x:v>部分完成</x:v>
      </x:c>
      <x:c r="G137" s="52" t="n">
        <x:v>0.3</x:v>
      </x:c>
      <x:c r="H137" s="50" t="str">
        <x:v>异步任务和本地生成具备部分基础。</x:v>
      </x:c>
      <x:c r="I137" s="50" t="str">
        <x:v>缺少统一重试、快照和任务日志。</x:v>
      </x:c>
      <x:c r="J137" s="50" t="str">
        <x:v>导出失败不丢内容；重试产生新attempt并保留原错误。</x:v>
      </x:c>
      <x:c r="K137" s="50" t="str">
        <x:v>P1</x:v>
      </x:c>
      <x:c r="L137" s="50" t="str">
        <x:v>一期必选</x:v>
      </x:c>
      <x:c r="M137" s="50" t="str">
        <x:v>PDD V1.2 第5章</x:v>
      </x:c>
      <x:c r="N137" s="50" t="str">
        <x:v>待分配</x:v>
      </x:c>
      <x:c r="O137" s="54" t="n">
        <x:v>46206</x:v>
      </x:c>
      <x:c r="P137" s="50" t="str"/>
    </x:row>
    <x:row r="138" ht="66" customHeight="1">
      <x:c r="A138" s="50" t="str">
        <x:v>CHK-5.12-01</x:v>
      </x:c>
      <x:c r="B138" s="50" t="str">
        <x:v>5.12</x:v>
      </x:c>
      <x:c r="C138" s="50" t="str">
        <x:v>系统管理与配置</x:v>
      </x:c>
      <x:c r="D138" s="50" t="str">
        <x:v>用户登录与用户管理</x:v>
      </x:c>
      <x:c r="E138" s="50" t="str">
        <x:v>支持用户认证、用户列表、启用/禁用和基础信息。</x:v>
      </x:c>
      <x:c r="F138" s="50" t="str">
        <x:v>部分完成</x:v>
      </x:c>
      <x:c r="G138" s="52" t="n">
        <x:v>0.5</x:v>
      </x:c>
      <x:c r="H138" s="50" t="str">
        <x:v>已新增登录页、用户名密码登录、scrypt校验和Session Token。</x:v>
      </x:c>
      <x:c r="I138" s="50" t="str">
        <x:v>用户管理、禁用会话和安全策略不完整；登录页预填演示账号密码。</x:v>
      </x:c>
      <x:c r="J138" s="50" t="str">
        <x:v>禁用用户后立即撤销会话；生产登录页不暴露默认密码。</x:v>
      </x:c>
      <x:c r="K138" s="50" t="str">
        <x:v>P0</x:v>
      </x:c>
      <x:c r="L138" s="50" t="str">
        <x:v>一期必选</x:v>
      </x:c>
      <x:c r="M138" s="50" t="str">
        <x:v>PDD V1.2 第5章</x:v>
      </x:c>
      <x:c r="N138" s="50" t="str">
        <x:v>待分配</x:v>
      </x:c>
      <x:c r="O138" s="54" t="n">
        <x:v>46206</x:v>
      </x:c>
      <x:c r="P138" s="50" t="str"/>
    </x:row>
    <x:row r="139" ht="66" customHeight="1">
      <x:c r="A139" s="50" t="str">
        <x:v>CHK-5.12-02</x:v>
      </x:c>
      <x:c r="B139" s="50" t="str">
        <x:v>5.12</x:v>
      </x:c>
      <x:c r="C139" s="50" t="str">
        <x:v>系统管理与配置</x:v>
      </x:c>
      <x:c r="D139" s="50" t="str">
        <x:v>角色与权限管理</x:v>
      </x:c>
      <x:c r="E139" s="50" t="str">
        <x:v>实现RBAC和数据范围，写操作按权限校验。</x:v>
      </x:c>
      <x:c r="F139" s="50" t="str">
        <x:v>少量实现</x:v>
      </x:c>
      <x:c r="G139" s="52" t="n">
        <x:v>0.1</x:v>
      </x:c>
      <x:c r="H139" s="50" t="str">
        <x:v>有登录判断和部分角色字段。</x:v>
      </x:c>
      <x:c r="I139" s="50" t="str">
        <x:v>多数接口只判断登录；无角色级授权。</x:v>
      </x:c>
      <x:c r="J139" s="50" t="str">
        <x:v>不同角色对项目、事实、审核、配置和下载权限严格区分。</x:v>
      </x:c>
      <x:c r="K139" s="50" t="str">
        <x:v>P0</x:v>
      </x:c>
      <x:c r="L139" s="50" t="str">
        <x:v>一期必选</x:v>
      </x:c>
      <x:c r="M139" s="50" t="str">
        <x:v>PDD V1.2 第5章</x:v>
      </x:c>
      <x:c r="N139" s="50" t="str">
        <x:v>待分配</x:v>
      </x:c>
      <x:c r="O139" s="54" t="n">
        <x:v>46206</x:v>
      </x:c>
      <x:c r="P139" s="50" t="str"/>
    </x:row>
    <x:row r="140" ht="66" customHeight="1">
      <x:c r="A140" s="50" t="str">
        <x:v>CHK-5.12-03</x:v>
      </x:c>
      <x:c r="B140" s="50" t="str">
        <x:v>5.12</x:v>
      </x:c>
      <x:c r="C140" s="50" t="str">
        <x:v>系统管理与配置</x:v>
      </x:c>
      <x:c r="D140" s="50" t="str">
        <x:v>模型网关</x:v>
      </x:c>
      <x:c r="E140" s="50" t="str">
        <x:v>统一模型调用、路由、降级和基础健康检查。</x:v>
      </x:c>
      <x:c r="F140" s="50" t="str">
        <x:v>部分完成</x:v>
      </x:c>
      <x:c r="G140" s="52" t="n">
        <x:v>0.55</x:v>
      </x:c>
      <x:c r="H140" s="50" t="str">
        <x:v>存在模型网关和本地降级。</x:v>
      </x:c>
      <x:c r="I140" s="50" t="str">
        <x:v>配置、评测、配额、成本和版本审计不足。</x:v>
      </x:c>
      <x:c r="J140" s="50" t="str">
        <x:v>切换模型不改业务代码；失败按策略降级；调用记录模型版本。</x:v>
      </x:c>
      <x:c r="K140" s="50" t="str">
        <x:v>P1</x:v>
      </x:c>
      <x:c r="L140" s="50" t="str">
        <x:v>一期必选</x:v>
      </x:c>
      <x:c r="M140" s="50" t="str">
        <x:v>PDD V1.2 第5章</x:v>
      </x:c>
      <x:c r="N140" s="50" t="str">
        <x:v>待分配</x:v>
      </x:c>
      <x:c r="O140" s="54" t="n">
        <x:v>46206</x:v>
      </x:c>
      <x:c r="P140" s="50" t="str"/>
    </x:row>
    <x:row r="141" ht="66" customHeight="1">
      <x:c r="A141" s="50" t="str">
        <x:v>CHK-5.12-04</x:v>
      </x:c>
      <x:c r="B141" s="50" t="str">
        <x:v>5.12</x:v>
      </x:c>
      <x:c r="C141" s="50" t="str">
        <x:v>系统管理与配置</x:v>
      </x:c>
      <x:c r="D141" s="50" t="str">
        <x:v>模型配置与故障切换</x:v>
      </x:c>
      <x:c r="E141" s="50" t="str">
        <x:v>配置模型能力、端点、策略、默认模型和健康状态。</x:v>
      </x:c>
      <x:c r="F141" s="50" t="str">
        <x:v>少量实现</x:v>
      </x:c>
      <x:c r="G141" s="52" t="n">
        <x:v>0.25</x:v>
      </x:c>
      <x:c r="H141" s="50" t="str">
        <x:v>主要通过环境变量配置模型。</x:v>
      </x:c>
      <x:c r="I141" s="50" t="str">
        <x:v>无管理页面、版本、回归评测和自动故障切换。</x:v>
      </x:c>
      <x:c r="J141" s="50" t="str">
        <x:v>管理员可健康检查和切换默认模型；旧任务保留原模型版本。</x:v>
      </x:c>
      <x:c r="K141" s="50" t="str">
        <x:v>P1</x:v>
      </x:c>
      <x:c r="L141" s="50" t="str">
        <x:v>一期轻量</x:v>
      </x:c>
      <x:c r="M141" s="50" t="str">
        <x:v>PDD V1.2 第5章</x:v>
      </x:c>
      <x:c r="N141" s="50" t="str">
        <x:v>待分配</x:v>
      </x:c>
      <x:c r="O141" s="54" t="n">
        <x:v>46206</x:v>
      </x:c>
      <x:c r="P141" s="50" t="str"/>
    </x:row>
    <x:row r="142" ht="66" customHeight="1">
      <x:c r="A142" s="50" t="str">
        <x:v>CHK-5.12-05</x:v>
      </x:c>
      <x:c r="B142" s="50" t="str">
        <x:v>5.12</x:v>
      </x:c>
      <x:c r="C142" s="50" t="str">
        <x:v>系统管理与配置</x:v>
      </x:c>
      <x:c r="D142" s="50" t="str">
        <x:v>数据源管理</x:v>
      </x:c>
      <x:c r="E142" s="50" t="str">
        <x:v>配置GIS、数据库、对象存储、档案和消息服务并测试连接。</x:v>
      </x:c>
      <x:c r="F142" s="50" t="str">
        <x:v>少量实现</x:v>
      </x:c>
      <x:c r="G142" s="52" t="n">
        <x:v>0.1</x:v>
      </x:c>
      <x:c r="H142" s="50" t="str">
        <x:v>MinIO、Redis、数据库等连接由环境配置。</x:v>
      </x:c>
      <x:c r="I142" s="50" t="str">
        <x:v>无统一data_source管理、授权和健康状态。</x:v>
      </x:c>
      <x:c r="J142" s="50" t="str">
        <x:v>管理员可测试连接；失败配置不能启用；密钥不回显。</x:v>
      </x:c>
      <x:c r="K142" s="50" t="str">
        <x:v>P2</x:v>
      </x:c>
      <x:c r="L142" s="50" t="str">
        <x:v>后续阶段</x:v>
      </x:c>
      <x:c r="M142" s="50" t="str">
        <x:v>PDD V1.2 第5章</x:v>
      </x:c>
      <x:c r="N142" s="50" t="str">
        <x:v>待分配</x:v>
      </x:c>
      <x:c r="O142" s="54" t="n">
        <x:v>46206</x:v>
      </x:c>
      <x:c r="P142" s="50" t="str"/>
    </x:row>
    <x:row r="143" ht="66" customHeight="1">
      <x:c r="A143" s="50" t="str">
        <x:v>CHK-5.12-06</x:v>
      </x:c>
      <x:c r="B143" s="50" t="str">
        <x:v>5.12</x:v>
      </x:c>
      <x:c r="C143" s="50" t="str">
        <x:v>系统管理与配置</x:v>
      </x:c>
      <x:c r="D143" s="50" t="str">
        <x:v>配置中心版本化</x:v>
      </x:c>
      <x:c r="E143" s="50" t="str">
        <x:v>字典、编号、密级、水印和策略支持草稿、审核、发布、停用、回滚。</x:v>
      </x:c>
      <x:c r="F143" s="50" t="str">
        <x:v>少量实现</x:v>
      </x:c>
      <x:c r="G143" s="52" t="n">
        <x:v>0.1</x:v>
      </x:c>
      <x:c r="H143" s="50" t="str">
        <x:v>部分配置散落在代码和.env。</x:v>
      </x:c>
      <x:c r="I143" s="50" t="str">
        <x:v>无版本化配置中心和回滚。</x:v>
      </x:c>
      <x:c r="J143" s="50" t="str">
        <x:v>配置发布后记录影响范围；回滚只切换生效指针。</x:v>
      </x:c>
      <x:c r="K143" s="50" t="str">
        <x:v>P1</x:v>
      </x:c>
      <x:c r="L143" s="50" t="str">
        <x:v>一期必选</x:v>
      </x:c>
      <x:c r="M143" s="50" t="str">
        <x:v>PDD V1.2 第5章</x:v>
      </x:c>
      <x:c r="N143" s="50" t="str">
        <x:v>待分配</x:v>
      </x:c>
      <x:c r="O143" s="54" t="n">
        <x:v>46206</x:v>
      </x:c>
      <x:c r="P143" s="50" t="str"/>
    </x:row>
    <x:row r="144" ht="66" customHeight="1">
      <x:c r="A144" s="50" t="str">
        <x:v>CHK-5.12-07</x:v>
      </x:c>
      <x:c r="B144" s="50" t="str">
        <x:v>5.12</x:v>
      </x:c>
      <x:c r="C144" s="50" t="str">
        <x:v>系统管理与配置</x:v>
      </x:c>
      <x:c r="D144" s="50" t="str">
        <x:v>基础字典和规则配置</x:v>
      </x:c>
      <x:c r="E144" s="50" t="str">
        <x:v>项目类型、地区、资料分类、质量级别和模板参数可配置。</x:v>
      </x:c>
      <x:c r="F144" s="50" t="str">
        <x:v>少量实现</x:v>
      </x:c>
      <x:c r="G144" s="52" t="n">
        <x:v>0.15</x:v>
      </x:c>
      <x:c r="H144" s="50" t="str">
        <x:v>存在少量固定枚举和数据库表。</x:v>
      </x:c>
      <x:c r="I144" s="50" t="str">
        <x:v>大量值仍硬编码。</x:v>
      </x:c>
      <x:c r="J144" s="50" t="str">
        <x:v>新增地区/类型/规则无需改代码和重新部署。</x:v>
      </x:c>
      <x:c r="K144" s="50" t="str">
        <x:v>P1</x:v>
      </x:c>
      <x:c r="L144" s="50" t="str">
        <x:v>一期必选</x:v>
      </x:c>
      <x:c r="M144" s="50" t="str">
        <x:v>PDD V1.2 第5章</x:v>
      </x:c>
      <x:c r="N144" s="50" t="str">
        <x:v>待分配</x:v>
      </x:c>
      <x:c r="O144" s="54" t="n">
        <x:v>46206</x:v>
      </x:c>
      <x:c r="P144" s="50" t="str"/>
    </x:row>
    <x:row r="145" ht="66" customHeight="1">
      <x:c r="A145" s="50" t="str">
        <x:v>CHK-5.12-08</x:v>
      </x:c>
      <x:c r="B145" s="50" t="str">
        <x:v>5.12</x:v>
      </x:c>
      <x:c r="C145" s="50" t="str">
        <x:v>系统管理与配置</x:v>
      </x:c>
      <x:c r="D145" s="50" t="str">
        <x:v>审计日志查询</x:v>
      </x:c>
      <x:c r="E145" s="50" t="str">
        <x:v>按用户、动作、对象、时间和项目检索审计。</x:v>
      </x:c>
      <x:c r="F145" s="50" t="str">
        <x:v>部分完成</x:v>
      </x:c>
      <x:c r="G145" s="52" t="n">
        <x:v>0.4</x:v>
      </x:c>
      <x:c r="H145" s="50" t="str">
        <x:v>有审计日志基础列表。</x:v>
      </x:c>
      <x:c r="I145" s="50" t="str">
        <x:v>接口鉴权不足，日志操作者大量为system。</x:v>
      </x:c>
      <x:c r="J145" s="50" t="str">
        <x:v>高风险动作可检索before/after、IP、trace_id和真实用户。</x:v>
      </x:c>
      <x:c r="K145" s="50" t="str">
        <x:v>P0</x:v>
      </x:c>
      <x:c r="L145" s="50" t="str">
        <x:v>一期必选</x:v>
      </x:c>
      <x:c r="M145" s="50" t="str">
        <x:v>PDD V1.2 第5章</x:v>
      </x:c>
      <x:c r="N145" s="50" t="str">
        <x:v>待分配</x:v>
      </x:c>
      <x:c r="O145" s="54" t="n">
        <x:v>46206</x:v>
      </x:c>
      <x:c r="P145" s="50" t="str"/>
    </x:row>
    <x:row r="146" ht="66" customHeight="1">
      <x:c r="A146" s="50" t="str">
        <x:v>CHK-5.12-09</x:v>
      </x:c>
      <x:c r="B146" s="50" t="str">
        <x:v>5.12</x:v>
      </x:c>
      <x:c r="C146" s="50" t="str">
        <x:v>系统管理与配置</x:v>
      </x:c>
      <x:c r="D146" s="50" t="str">
        <x:v>不可篡改真实用户审计</x:v>
      </x:c>
      <x:c r="E146" s="50" t="str">
        <x:v>业务写操作记录真实actor，普通管理员不能删除审计。</x:v>
      </x:c>
      <x:c r="F146" s="50" t="str">
        <x:v>少量实现</x:v>
      </x:c>
      <x:c r="G146" s="52" t="n">
        <x:v>0.2</x:v>
      </x:c>
      <x:c r="H146" s="50" t="str">
        <x:v>部分动作写审计日志。</x:v>
      </x:c>
      <x:c r="I146" s="50" t="str">
        <x:v>多数actor硬编码system，删除/留存策略未定义。</x:v>
      </x:c>
      <x:c r="J146" s="50" t="str">
        <x:v>所有写操作均记录真实用户；日志不可通过普通业务接口修改或删除。</x:v>
      </x:c>
      <x:c r="K146" s="50" t="str">
        <x:v>P0</x:v>
      </x:c>
      <x:c r="L146" s="50" t="str">
        <x:v>一期必选</x:v>
      </x:c>
      <x:c r="M146" s="50" t="str">
        <x:v>PDD V1.2 第5章</x:v>
      </x:c>
      <x:c r="N146" s="50" t="str">
        <x:v>待分配</x:v>
      </x:c>
      <x:c r="O146" s="54" t="n">
        <x:v>46206</x:v>
      </x:c>
      <x:c r="P146" s="50" t="str"/>
    </x:row>
    <x:row r="147" ht="66" customHeight="1">
      <x:c r="A147" s="50" t="str">
        <x:v>CHK-5.12-10</x:v>
      </x:c>
      <x:c r="B147" s="50" t="str">
        <x:v>5.12</x:v>
      </x:c>
      <x:c r="C147" s="50" t="str">
        <x:v>系统管理与配置</x:v>
      </x:c>
      <x:c r="D147" s="50" t="str">
        <x:v>运行监控与指标</x:v>
      </x:c>
      <x:c r="E147" s="50" t="str">
        <x:v>查看任务、错误、性能、模型调用和成本等运行指标。</x:v>
      </x:c>
      <x:c r="F147" s="50" t="str">
        <x:v>少量实现</x:v>
      </x:c>
      <x:c r="G147" s="52" t="n">
        <x:v>0.1</x:v>
      </x:c>
      <x:c r="H147" s="50" t="str">
        <x:v>有日志文件和基础平台状态。</x:v>
      </x:c>
      <x:c r="I147" s="50" t="str">
        <x:v>无可观测性面板、结构化指标和告警。</x:v>
      </x:c>
      <x:c r="J147" s="50" t="str">
        <x:v>可查看API错误率、任务积压、模型调用量和失败率，并配置告警。</x:v>
      </x:c>
      <x:c r="K147" s="50" t="str">
        <x:v>P2</x:v>
      </x:c>
      <x:c r="L147" s="50" t="str">
        <x:v>后续阶段</x:v>
      </x:c>
      <x:c r="M147" s="50" t="str">
        <x:v>PDD V1.2 第5章</x:v>
      </x:c>
      <x:c r="N147" s="50" t="str">
        <x:v>待分配</x:v>
      </x:c>
      <x:c r="O147" s="54" t="n">
        <x:v>46206</x:v>
      </x:c>
      <x:c r="P147" s="50" t="str"/>
    </x:row>
    <x:row r="148" ht="66" customHeight="1">
      <x:c r="A148" s="50" t="str">
        <x:v>CHK-5.12-11</x:v>
      </x:c>
      <x:c r="B148" s="50" t="str">
        <x:v>5.12</x:v>
      </x:c>
      <x:c r="C148" s="50" t="str">
        <x:v>系统管理与配置</x:v>
      </x:c>
      <x:c r="D148" s="50" t="str">
        <x:v>密钥安全管理</x:v>
      </x:c>
      <x:c r="E148" s="50" t="str">
        <x:v>密钥仅存Secret/环境变量，不进入仓库、发布包、数据库明文和日志。</x:v>
      </x:c>
      <x:c r="F148" s="50" t="str">
        <x:v>少量实现</x:v>
      </x:c>
      <x:c r="G148" s="52" t="n">
        <x:v>0.05</x:v>
      </x:c>
      <x:c r="H148" s="50" t="str">
        <x:v>压缩包中的.env和.env.example包含真实远程数据库连接。</x:v>
      </x:c>
      <x:c r="I148" s="50" t="str">
        <x:v>构成P0凭据泄露风险。</x:v>
      </x:c>
      <x:c r="J148" s="50" t="str">
        <x:v>立即轮换密码；发布包不含真实密钥；CI扫描无高风险凭据。</x:v>
      </x:c>
      <x:c r="K148" s="50" t="str">
        <x:v>P0</x:v>
      </x:c>
      <x:c r="L148" s="50" t="str">
        <x:v>一期必选</x:v>
      </x:c>
      <x:c r="M148" s="50" t="str">
        <x:v>PDD V1.2 第5章</x:v>
      </x:c>
      <x:c r="N148" s="50" t="str">
        <x:v>待分配</x:v>
      </x:c>
      <x:c r="O148" s="54" t="n">
        <x:v>46206</x:v>
      </x:c>
      <x:c r="P148" s="50" t="str"/>
    </x:row>
    <x:row r="149" ht="66" customHeight="1">
      <x:c r="A149" s="50" t="str">
        <x:v>CHK-5.12-12</x:v>
      </x:c>
      <x:c r="B149" s="50" t="str">
        <x:v>5.12</x:v>
      </x:c>
      <x:c r="C149" s="50" t="str">
        <x:v>系统管理与配置</x:v>
      </x:c>
      <x:c r="D149" s="50" t="str">
        <x:v>用户禁用与会话撤销</x:v>
      </x:c>
      <x:c r="E149" s="50" t="str">
        <x:v>禁用用户后撤销现有会话并阻止新登录。</x:v>
      </x:c>
      <x:c r="F149" s="50" t="str">
        <x:v>少量实现</x:v>
      </x:c>
      <x:c r="G149" s="52" t="n">
        <x:v>0.1</x:v>
      </x:c>
      <x:c r="H149" s="50" t="str">
        <x:v>存在基础会话Token。</x:v>
      </x:c>
      <x:c r="I149" s="50" t="str">
        <x:v>未形成禁用、撤销和会话管理。</x:v>
      </x:c>
      <x:c r="J149" s="50" t="str">
        <x:v>禁用用户的旧Token立即失效，历史责任记录保留。</x:v>
      </x:c>
      <x:c r="K149" s="50" t="str">
        <x:v>P1</x:v>
      </x:c>
      <x:c r="L149" s="50" t="str">
        <x:v>一期必选</x:v>
      </x:c>
      <x:c r="M149" s="50" t="str">
        <x:v>PDD V1.2 第5章</x:v>
      </x:c>
      <x:c r="N149" s="50" t="str">
        <x:v>待分配</x:v>
      </x:c>
      <x:c r="O149" s="54" t="n">
        <x:v>46206</x:v>
      </x:c>
      <x:c r="P149" s="50" t="str"/>
    </x:row>
    <x:row r="150" ht="66" customHeight="1">
      <x:c r="A150" s="50" t="str">
        <x:v>CHK-5.12-13</x:v>
      </x:c>
      <x:c r="B150" s="50" t="str">
        <x:v>5.12</x:v>
      </x:c>
      <x:c r="C150" s="50" t="str">
        <x:v>系统管理与配置</x:v>
      </x:c>
      <x:c r="D150" s="50" t="str">
        <x:v>审计导出</x:v>
      </x:c>
      <x:c r="E150" s="50" t="str">
        <x:v>按权限导出带水印的审计文件并记录导出范围和原因。</x:v>
      </x:c>
      <x:c r="F150" s="50" t="str">
        <x:v>未完成</x:v>
      </x:c>
      <x:c r="G150" s="52" t="n">
        <x:v>0</x:v>
      </x:c>
      <x:c r="H150" s="50" t="str">
        <x:v>未实现。</x:v>
      </x:c>
      <x:c r="I150" s="50" t="str">
        <x:v>客户审计和交付取证能力不足。</x:v>
      </x:c>
      <x:c r="J150" s="50" t="str">
        <x:v>授权审计员可导出；导出动作本身写审计。</x:v>
      </x:c>
      <x:c r="K150" s="50" t="str">
        <x:v>P2</x:v>
      </x:c>
      <x:c r="L150" s="50" t="str">
        <x:v>后续阶段</x:v>
      </x:c>
      <x:c r="M150" s="50" t="str">
        <x:v>PDD V1.2 第5章</x:v>
      </x:c>
      <x:c r="N150" s="50" t="str">
        <x:v>待分配</x:v>
      </x:c>
      <x:c r="O150" s="54" t="n">
        <x:v>46206</x:v>
      </x:c>
      <x:c r="P150" s="50" t="str"/>
    </x:row>
    <x:row r="151" ht="66" customHeight="1">
      <x:c r="A151" s="50" t="str">
        <x:v>CHK-SUP-01</x:v>
      </x:c>
      <x:c r="B151" s="50" t="str">
        <x:v>SUP</x:v>
      </x:c>
      <x:c r="C151" s="50" t="str">
        <x:v>跨模块补充核查</x:v>
      </x:c>
      <x:c r="D151" s="50" t="str">
        <x:v>所有业务接口鉴权</x:v>
      </x:c>
      <x:c r="E151" s="50" t="str">
        <x:v>项目、文档、事实、章节、质量、投资、成果和下载接口必须要求认证。</x:v>
      </x:c>
      <x:c r="F151" s="50" t="str">
        <x:v>少量实现</x:v>
      </x:c>
      <x:c r="G151" s="52" t="n">
        <x:v>0.15</x:v>
      </x:c>
      <x:c r="H151" s="50" t="str">
        <x:v>基础登录已实现，但多数GET仍可匿名访问。</x:v>
      </x:c>
      <x:c r="I151" s="50" t="str">
        <x:v>政企数据存在越权读取风险。</x:v>
      </x:c>
      <x:c r="J151" s="50" t="str">
        <x:v>自动化安全测试验证匿名请求全部拒绝，健康检查等公开接口除外。</x:v>
      </x:c>
      <x:c r="K151" s="50" t="str">
        <x:v>P0</x:v>
      </x:c>
      <x:c r="L151" s="50" t="str">
        <x:v>平台底座</x:v>
      </x:c>
      <x:c r="M151" s="50" t="str">
        <x:v>评审补充</x:v>
      </x:c>
      <x:c r="N151" s="50" t="str">
        <x:v>待分配</x:v>
      </x:c>
      <x:c r="O151" s="54" t="n">
        <x:v>46206</x:v>
      </x:c>
      <x:c r="P151" s="50" t="str"/>
    </x:row>
    <x:row r="152" ht="66" customHeight="1">
      <x:c r="A152" s="50" t="str">
        <x:v>CHK-SUP-02</x:v>
      </x:c>
      <x:c r="B152" s="50" t="str">
        <x:v>SUP</x:v>
      </x:c>
      <x:c r="C152" s="50" t="str">
        <x:v>跨模块补充核查</x:v>
      </x:c>
      <x:c r="D152" s="50" t="str">
        <x:v>租户/项目数据隔离</x:v>
      </x:c>
      <x:c r="E152" s="50" t="str">
        <x:v>所有核心对象默认带tenant_id、project_id并在查询层强制过滤。</x:v>
      </x:c>
      <x:c r="F152" s="50" t="str">
        <x:v>少量实现</x:v>
      </x:c>
      <x:c r="G152" s="52" t="n">
        <x:v>0.05</x:v>
      </x:c>
      <x:c r="H152" s="50" t="str">
        <x:v>项目ID存在于部分对象。</x:v>
      </x:c>
      <x:c r="I152" s="50" t="str">
        <x:v>无租户隔离，项目成员授权未落地。</x:v>
      </x:c>
      <x:c r="J152" s="50" t="str">
        <x:v>两个租户/项目互相不可查询、检索、生成和下载数据。</x:v>
      </x:c>
      <x:c r="K152" s="50" t="str">
        <x:v>P0</x:v>
      </x:c>
      <x:c r="L152" s="50" t="str">
        <x:v>平台底座</x:v>
      </x:c>
      <x:c r="M152" s="50" t="str">
        <x:v>评审补充</x:v>
      </x:c>
      <x:c r="N152" s="50" t="str">
        <x:v>待分配</x:v>
      </x:c>
      <x:c r="O152" s="54" t="n">
        <x:v>46206</x:v>
      </x:c>
      <x:c r="P152" s="50" t="str"/>
    </x:row>
    <x:row r="153" ht="66" customHeight="1">
      <x:c r="A153" s="50" t="str">
        <x:v>CHK-SUP-03</x:v>
      </x:c>
      <x:c r="B153" s="50" t="str">
        <x:v>SUP</x:v>
      </x:c>
      <x:c r="C153" s="50" t="str">
        <x:v>跨模块补充核查</x:v>
      </x:c>
      <x:c r="D153" s="50" t="str">
        <x:v>CORS与会话安全</x:v>
      </x:c>
      <x:c r="E153" s="50" t="str">
        <x:v>限制可信Origin，设置安全Cookie/Token策略和会话过期。</x:v>
      </x:c>
      <x:c r="F153" s="50" t="str">
        <x:v>少量实现</x:v>
      </x:c>
      <x:c r="G153" s="52" t="n">
        <x:v>0.2</x:v>
      </x:c>
      <x:c r="H153" s="50" t="str">
        <x:v>Bearer Session Token已实现。</x:v>
      </x:c>
      <x:c r="I153" s="50" t="str">
        <x:v>CORS通配来源并允许凭据；缺少完整会话策略。</x:v>
      </x:c>
      <x:c r="J153" s="50" t="str">
        <x:v>非白名单Origin被拒绝；Token过期、撤销和重放策略通过测试。</x:v>
      </x:c>
      <x:c r="K153" s="50" t="str">
        <x:v>P0</x:v>
      </x:c>
      <x:c r="L153" s="50" t="str">
        <x:v>平台底座</x:v>
      </x:c>
      <x:c r="M153" s="50" t="str">
        <x:v>评审补充</x:v>
      </x:c>
      <x:c r="N153" s="50" t="str">
        <x:v>待分配</x:v>
      </x:c>
      <x:c r="O153" s="54" t="n">
        <x:v>46206</x:v>
      </x:c>
      <x:c r="P153" s="50" t="str"/>
    </x:row>
    <x:row r="154" ht="66" customHeight="1">
      <x:c r="A154" s="50" t="str">
        <x:v>CHK-SUP-04</x:v>
      </x:c>
      <x:c r="B154" s="50" t="str">
        <x:v>SUP</x:v>
      </x:c>
      <x:c r="C154" s="50" t="str">
        <x:v>跨模块补充核查</x:v>
      </x:c>
      <x:c r="D154" s="50" t="str">
        <x:v>空库初始化和种子数据</x:v>
      </x:c>
      <x:c r="E154" s="50" t="str">
        <x:v>全新数据库迁移后可一键创建管理员、演示角色、模板、规则和样例项目。</x:v>
      </x:c>
      <x:c r="F154" s="50" t="str">
        <x:v>少量实现</x:v>
      </x:c>
      <x:c r="G154" s="52" t="n">
        <x:v>0.1</x:v>
      </x:c>
      <x:c r="H154" s="50" t="str">
        <x:v>验收脚本依赖远端数据库预置P001和演示账号。</x:v>
      </x:c>
      <x:c r="I154" s="50" t="str">
        <x:v>无法在干净环境独立复现。</x:v>
      </x:c>
      <x:c r="J154" s="50" t="str">
        <x:v>在空数据库执行单一命令完成初始化，随后验收脚本全量通过。</x:v>
      </x:c>
      <x:c r="K154" s="50" t="str">
        <x:v>P0</x:v>
      </x:c>
      <x:c r="L154" s="50" t="str">
        <x:v>一期必选</x:v>
      </x:c>
      <x:c r="M154" s="50" t="str">
        <x:v>评审补充</x:v>
      </x:c>
      <x:c r="N154" s="50" t="str">
        <x:v>待分配</x:v>
      </x:c>
      <x:c r="O154" s="54" t="n">
        <x:v>46206</x:v>
      </x:c>
      <x:c r="P154" s="50" t="str"/>
    </x:row>
    <x:row r="155" ht="66" customHeight="1">
      <x:c r="A155" s="50" t="str">
        <x:v>CHK-SUP-05</x:v>
      </x:c>
      <x:c r="B155" s="50" t="str">
        <x:v>SUP</x:v>
      </x:c>
      <x:c r="C155" s="50" t="str">
        <x:v>跨模块补充核查</x:v>
      </x:c>
      <x:c r="D155" s="50" t="str">
        <x:v>迁移单一来源与完整回滚</x:v>
      </x:c>
      <x:c r="E155" s="50" t="str">
        <x:v>统一Alembic/SQL迁移来源，所有迁移具备可验证升级和回滚。</x:v>
      </x:c>
      <x:c r="F155" s="50" t="str">
        <x:v>部分完成</x:v>
      </x:c>
      <x:c r="G155" s="52" t="n">
        <x:v>0.35</x:v>
      </x:c>
      <x:c r="H155" s="50" t="str">
        <x:v>已有Alembic和SQL脚本。</x:v>
      </x:c>
      <x:c r="I155" s="50" t="str">
        <x:v>双轨迁移可能漂移，downgrade不完整。</x:v>
      </x:c>
      <x:c r="J155" s="50" t="str">
        <x:v>CI在空库执行upgrade head、downgrade、再次upgrade均成功。</x:v>
      </x:c>
      <x:c r="K155" s="50" t="str">
        <x:v>P1</x:v>
      </x:c>
      <x:c r="L155" s="50" t="str">
        <x:v>平台底座</x:v>
      </x:c>
      <x:c r="M155" s="50" t="str">
        <x:v>评审补充</x:v>
      </x:c>
      <x:c r="N155" s="50" t="str">
        <x:v>待分配</x:v>
      </x:c>
      <x:c r="O155" s="54" t="n">
        <x:v>46206</x:v>
      </x:c>
      <x:c r="P155" s="50" t="str"/>
    </x:row>
    <x:row r="156" ht="66" customHeight="1">
      <x:c r="A156" s="50" t="str">
        <x:v>CHK-SUP-06</x:v>
      </x:c>
      <x:c r="B156" s="50" t="str">
        <x:v>SUP</x:v>
      </x:c>
      <x:c r="C156" s="50" t="str">
        <x:v>跨模块补充核查</x:v>
      </x:c>
      <x:c r="D156" s="50" t="str">
        <x:v>Celery幂等、重试和取消</x:v>
      </x:c>
      <x:c r="E156" s="50" t="str">
        <x:v>异步任务具备幂等键、重试策略、取消、安全停止点和结果一致性。</x:v>
      </x:c>
      <x:c r="F156" s="50" t="str">
        <x:v>少量实现</x:v>
      </x:c>
      <x:c r="G156" s="52" t="n">
        <x:v>0.2</x:v>
      </x:c>
      <x:c r="H156" s="50" t="str">
        <x:v>Celery已部分真实调用。</x:v>
      </x:c>
      <x:c r="I156" s="50" t="str">
        <x:v>任务生命周期、幂等和取消尚未形成。</x:v>
      </x:c>
      <x:c r="J156" s="50" t="str">
        <x:v>重复提交不产生重复业务结果；失败按策略重试；取消状态一致。</x:v>
      </x:c>
      <x:c r="K156" s="50" t="str">
        <x:v>P1</x:v>
      </x:c>
      <x:c r="L156" s="50" t="str">
        <x:v>平台底座</x:v>
      </x:c>
      <x:c r="M156" s="50" t="str">
        <x:v>评审补充</x:v>
      </x:c>
      <x:c r="N156" s="50" t="str">
        <x:v>待分配</x:v>
      </x:c>
      <x:c r="O156" s="54" t="n">
        <x:v>46206</x:v>
      </x:c>
      <x:c r="P156" s="50" t="str"/>
    </x:row>
    <x:row r="157" ht="66" customHeight="1">
      <x:c r="A157" s="50" t="str">
        <x:v>CHK-SUP-07</x:v>
      </x:c>
      <x:c r="B157" s="50" t="str">
        <x:v>SUP</x:v>
      </x:c>
      <x:c r="C157" s="50" t="str">
        <x:v>跨模块补充核查</x:v>
      </x:c>
      <x:c r="D157" s="50" t="str">
        <x:v>Prompt/模型/索引版本审计</x:v>
      </x:c>
      <x:c r="E157" s="50" t="str">
        <x:v>每次AI生成记录Prompt版本、模型、参数、知识索引和调用成本。</x:v>
      </x:c>
      <x:c r="F157" s="50" t="str">
        <x:v>少量实现</x:v>
      </x:c>
      <x:c r="G157" s="52" t="n">
        <x:v>0.1</x:v>
      </x:c>
      <x:c r="H157" s="50" t="str">
        <x:v>存在模型网关。</x:v>
      </x:c>
      <x:c r="I157" s="50" t="str">
        <x:v>无完整生成审计和成本记录。</x:v>
      </x:c>
      <x:c r="J157" s="50" t="str">
        <x:v>章节详情可查看一次生成的完整技术版本和上下文摘要。</x:v>
      </x:c>
      <x:c r="K157" s="50" t="str">
        <x:v>P1</x:v>
      </x:c>
      <x:c r="L157" s="50" t="str">
        <x:v>一期必选</x:v>
      </x:c>
      <x:c r="M157" s="50" t="str">
        <x:v>评审补充</x:v>
      </x:c>
      <x:c r="N157" s="50" t="str">
        <x:v>待分配</x:v>
      </x:c>
      <x:c r="O157" s="54" t="n">
        <x:v>46206</x:v>
      </x:c>
      <x:c r="P157" s="50" t="str"/>
    </x:row>
    <x:row r="158" ht="66" customHeight="1">
      <x:c r="A158" s="50" t="str">
        <x:v>CHK-SUP-08</x:v>
      </x:c>
      <x:c r="B158" s="50" t="str">
        <x:v>SUP</x:v>
      </x:c>
      <x:c r="C158" s="50" t="str">
        <x:v>跨模块补充核查</x:v>
      </x:c>
      <x:c r="D158" s="50" t="str">
        <x:v>自动化测试体系</x:v>
      </x:c>
      <x:c r="E158" s="50" t="str">
        <x:v>覆盖后端单元/集成、前端类型/构建、E2E、安全和迁移测试。</x:v>
      </x:c>
      <x:c r="F158" s="50" t="str">
        <x:v>少量实现</x:v>
      </x:c>
      <x:c r="G158" s="52" t="n">
        <x:v>0.15</x:v>
      </x:c>
      <x:c r="H158" s="50" t="str">
        <x:v>有验收脚本和少量运行记录；Python编译和前端类型检查可通过。</x:v>
      </x:c>
      <x:c r="I158" s="50" t="str">
        <x:v>缺少系统化测试集和正式测试报告。</x:v>
      </x:c>
      <x:c r="J158" s="50" t="str">
        <x:v>CI自动执行并产出报告；关键业务和权限用例稳定通过。</x:v>
      </x:c>
      <x:c r="K158" s="50" t="str">
        <x:v>P0</x:v>
      </x:c>
      <x:c r="L158" s="50" t="str">
        <x:v>一期必选</x:v>
      </x:c>
      <x:c r="M158" s="50" t="str">
        <x:v>评审补充</x:v>
      </x:c>
      <x:c r="N158" s="50" t="str">
        <x:v>待分配</x:v>
      </x:c>
      <x:c r="O158" s="54" t="n">
        <x:v>46206</x:v>
      </x:c>
      <x:c r="P158" s="50" t="str"/>
    </x:row>
    <x:row r="159" ht="66" customHeight="1">
      <x:c r="A159" s="50" t="str">
        <x:v>CHK-SUP-09</x:v>
      </x:c>
      <x:c r="B159" s="50" t="str">
        <x:v>SUP</x:v>
      </x:c>
      <x:c r="C159" s="50" t="str">
        <x:v>跨模块补充核查</x:v>
      </x:c>
      <x:c r="D159" s="50" t="str">
        <x:v>CI/CD与可重复构建</x:v>
      </x:c>
      <x:c r="E159" s="50" t="str">
        <x:v>从锁文件全新安装依赖、构建、迁移和运行验收，不分发node_modules。</x:v>
      </x:c>
      <x:c r="F159" s="50" t="str">
        <x:v>少量实现</x:v>
      </x:c>
      <x:c r="G159" s="52" t="n">
        <x:v>0.2</x:v>
      </x:c>
      <x:c r="H159" s="50" t="str">
        <x:v>代码包有package-lock及预构建产物。</x:v>
      </x:c>
      <x:c r="I159" s="50" t="str">
        <x:v>携带node_modules存在跨系统权限/依赖问题。</x:v>
      </x:c>
      <x:c r="J159" s="50" t="str">
        <x:v>干净Linux Runner可完成npm ci、typecheck、build、后端测试和镜像构建。</x:v>
      </x:c>
      <x:c r="K159" s="50" t="str">
        <x:v>P0</x:v>
      </x:c>
      <x:c r="L159" s="50" t="str">
        <x:v>平台底座</x:v>
      </x:c>
      <x:c r="M159" s="50" t="str">
        <x:v>评审补充</x:v>
      </x:c>
      <x:c r="N159" s="50" t="str">
        <x:v>待分配</x:v>
      </x:c>
      <x:c r="O159" s="54" t="n">
        <x:v>46206</x:v>
      </x:c>
      <x:c r="P159" s="50" t="str"/>
    </x:row>
    <x:row r="160" ht="66" customHeight="1">
      <x:c r="A160" s="50" t="str">
        <x:v>CHK-SUP-10</x:v>
      </x:c>
      <x:c r="B160" s="50" t="str">
        <x:v>SUP</x:v>
      </x:c>
      <x:c r="C160" s="50" t="str">
        <x:v>跨模块补充核查</x:v>
      </x:c>
      <x:c r="D160" s="50" t="str">
        <x:v>发布包卫生</x:v>
      </x:c>
      <x:c r="E160" s="50" t="str">
        <x:v>发布包排除.env、日志、缓存、node_modules、__pycache__、运行时storage和测试凭据。</x:v>
      </x:c>
      <x:c r="F160" s="50" t="str">
        <x:v>少量实现</x:v>
      </x:c>
      <x:c r="G160" s="52" t="n">
        <x:v>0.1</x:v>
      </x:c>
      <x:c r="H160" s="50" t="str">
        <x:v>当前包包含.env、日志和部分运行产物。</x:v>
      </x:c>
      <x:c r="I160" s="50" t="str">
        <x:v>存在凭据、安全和体积风险。</x:v>
      </x:c>
      <x:c r="J160" s="50" t="str">
        <x:v>自动打包脚本生成的ZIP经清单检查不含敏感/运行时文件。</x:v>
      </x:c>
      <x:c r="K160" s="50" t="str">
        <x:v>P0</x:v>
      </x:c>
      <x:c r="L160" s="50" t="str">
        <x:v>平台底座</x:v>
      </x:c>
      <x:c r="M160" s="50" t="str">
        <x:v>评审补充</x:v>
      </x:c>
      <x:c r="N160" s="50" t="str">
        <x:v>待分配</x:v>
      </x:c>
      <x:c r="O160" s="54" t="n">
        <x:v>46206</x:v>
      </x:c>
      <x:c r="P160" s="50" t="str"/>
    </x:row>
    <x:row r="161" ht="66" customHeight="1">
      <x:c r="A161" s="50" t="str">
        <x:v>CHK-SUP-11</x:v>
      </x:c>
      <x:c r="B161" s="50" t="str">
        <x:v>SUP</x:v>
      </x:c>
      <x:c r="C161" s="50" t="str">
        <x:v>跨模块补充核查</x:v>
      </x:c>
      <x:c r="D161" s="50" t="str">
        <x:v>部署、备份恢复和运维文档</x:v>
      </x:c>
      <x:c r="E161" s="50" t="str">
        <x:v>提供生产部署、配置、升级、回滚、备份恢复和故障处理文档。</x:v>
      </x:c>
      <x:c r="F161" s="50" t="str">
        <x:v>部分完成</x:v>
      </x:c>
      <x:c r="G161" s="52" t="n">
        <x:v>0.3</x:v>
      </x:c>
      <x:c r="H161" s="50" t="str">
        <x:v>已有部分本地开发/部署说明。</x:v>
      </x:c>
      <x:c r="I161" s="50" t="str">
        <x:v>命令存在不一致，缺少生产拓扑和备份恢复演练。</x:v>
      </x:c>
      <x:c r="J161" s="50" t="str">
        <x:v>新环境按文档可部署；执行一次备份恢复和版本回滚演练。</x:v>
      </x:c>
      <x:c r="K161" s="50" t="str">
        <x:v>P1</x:v>
      </x:c>
      <x:c r="L161" s="50" t="str">
        <x:v>一期必选</x:v>
      </x:c>
      <x:c r="M161" s="50" t="str">
        <x:v>评审补充</x:v>
      </x:c>
      <x:c r="N161" s="50" t="str">
        <x:v>待分配</x:v>
      </x:c>
      <x:c r="O161" s="54" t="n">
        <x:v>46206</x:v>
      </x:c>
      <x:c r="P161" s="50" t="str"/>
    </x:row>
    <x:row r="162" ht="66" customHeight="1">
      <x:c r="A162" s="50" t="str">
        <x:v>CHK-SUP-12</x:v>
      </x:c>
      <x:c r="B162" s="50" t="str">
        <x:v>SUP</x:v>
      </x:c>
      <x:c r="C162" s="50" t="str">
        <x:v>跨模块补充核查</x:v>
      </x:c>
      <x:c r="D162" s="50" t="str">
        <x:v>用户操作手册</x:v>
      </x:c>
      <x:c r="E162" s="50" t="str">
        <x:v>覆盖项目、资料、事实、编制、审核、成果和管理员操作。</x:v>
      </x:c>
      <x:c r="F162" s="50" t="str">
        <x:v>少量实现</x:v>
      </x:c>
      <x:c r="G162" s="52" t="n">
        <x:v>0.1</x:v>
      </x:c>
      <x:c r="H162" s="50" t="str">
        <x:v>未发现完整用户手册。</x:v>
      </x:c>
      <x:c r="I162" s="50" t="str">
        <x:v>客户无法独立使用和验收。</x:v>
      </x:c>
      <x:c r="J162" s="50" t="str">
        <x:v>按手册由非研发人员完成端到端业务流程。</x:v>
      </x:c>
      <x:c r="K162" s="50" t="str">
        <x:v>P1</x:v>
      </x:c>
      <x:c r="L162" s="50" t="str">
        <x:v>一期必选</x:v>
      </x:c>
      <x:c r="M162" s="50" t="str">
        <x:v>评审补充</x:v>
      </x:c>
      <x:c r="N162" s="50" t="str">
        <x:v>待分配</x:v>
      </x:c>
      <x:c r="O162" s="54" t="n">
        <x:v>46206</x:v>
      </x:c>
      <x:c r="P162" s="50" t="str"/>
    </x:row>
    <x:row r="163" ht="66" customHeight="1">
      <x:c r="A163" s="50" t="str">
        <x:v>CHK-SUP-13</x:v>
      </x:c>
      <x:c r="B163" s="50" t="str">
        <x:v>SUP</x:v>
      </x:c>
      <x:c r="C163" s="50" t="str">
        <x:v>跨模块补充核查</x:v>
      </x:c>
      <x:c r="D163" s="50" t="str">
        <x:v>历史项目复现</x:v>
      </x:c>
      <x:c r="E163" s="50" t="str">
        <x:v>至少用一个真实历史项目完成资料到归档的全流程复现。</x:v>
      </x:c>
      <x:c r="F163" s="50" t="str">
        <x:v>未完成</x:v>
      </x:c>
      <x:c r="G163" s="52" t="n">
        <x:v>0</x:v>
      </x:c>
      <x:c r="H163" s="50" t="str">
        <x:v>只有合成Markdown样例。</x:v>
      </x:c>
      <x:c r="I163" s="50" t="str">
        <x:v>不满足第一阶段退出标准。</x:v>
      </x:c>
      <x:c r="J163" s="50" t="str">
        <x:v>提供脱敏历史资料、确认记录、章节、质量报告、审签和最终归档包。</x:v>
      </x:c>
      <x:c r="K163" s="50" t="str">
        <x:v>P0</x:v>
      </x:c>
      <x:c r="L163" s="50" t="str">
        <x:v>一期必选</x:v>
      </x:c>
      <x:c r="M163" s="50" t="str">
        <x:v>评审补充</x:v>
      </x:c>
      <x:c r="N163" s="50" t="str">
        <x:v>待分配</x:v>
      </x:c>
      <x:c r="O163" s="54" t="n">
        <x:v>46206</x:v>
      </x:c>
      <x:c r="P163" s="50" t="str"/>
    </x:row>
    <x:row r="164" ht="66" customHeight="1">
      <x:c r="A164" s="50" t="str">
        <x:v>CHK-SUP-14</x:v>
      </x:c>
      <x:c r="B164" s="50" t="str">
        <x:v>SUP</x:v>
      </x:c>
      <x:c r="C164" s="50" t="str">
        <x:v>跨模块补充核查</x:v>
      </x:c>
      <x:c r="D164" s="50" t="str">
        <x:v>端到端第一阶段闭环</x:v>
      </x:c>
      <x:c r="E164" s="50" t="str">
        <x:v>上传→解析→候选事实→确认锁定→生成编辑→审核→门禁→发布→归档。</x:v>
      </x:c>
      <x:c r="F164" s="50" t="str">
        <x:v>部分完成</x:v>
      </x:c>
      <x:c r="G164" s="52" t="n">
        <x:v>0.4</x:v>
      </x:c>
      <x:c r="H164" s="50" t="str">
        <x:v>上传、解析、章节和文件生成可演示。</x:v>
      </x:c>
      <x:c r="I164" s="50" t="str">
        <x:v>自动事实、在线编辑、正式审核、发布版本和归档仍断链。</x:v>
      </x:c>
      <x:c r="J164" s="50" t="str">
        <x:v>在空库新项目按标准脚本完成全流程，不依赖预置业务数据。</x:v>
      </x:c>
      <x:c r="K164" s="50" t="str">
        <x:v>P0</x:v>
      </x:c>
      <x:c r="L164" s="50" t="str">
        <x:v>一期必选</x:v>
      </x:c>
      <x:c r="M164" s="50" t="str">
        <x:v>评审补充</x:v>
      </x:c>
      <x:c r="N164" s="50" t="str">
        <x:v>待分配</x:v>
      </x:c>
      <x:c r="O164" s="54" t="n">
        <x:v>46206</x:v>
      </x:c>
      <x:c r="P164" s="50" t="str"/>
    </x:row>
    <x:row r="165" ht="66" customHeight="1">
      <x:c r="A165" s="50" t="str">
        <x:v>CHK-SUP-15</x:v>
      </x:c>
      <x:c r="B165" s="50" t="str">
        <x:v>SUP</x:v>
      </x:c>
      <x:c r="C165" s="50" t="str">
        <x:v>跨模块补充核查</x:v>
      </x:c>
      <x:c r="D165" s="50" t="str">
        <x:v>任务包配置化扩展</x:v>
      </x:c>
      <x:c r="E165" s="50" t="str">
        <x:v>新增行业任务包不修改核心流程，模板/事实/规则/模型通过配置接入。</x:v>
      </x:c>
      <x:c r="F165" s="50" t="str">
        <x:v>少量实现</x:v>
      </x:c>
      <x:c r="G165" s="52" t="n">
        <x:v>0.2</x:v>
      </x:c>
      <x:c r="H165" s="50" t="str">
        <x:v>有两类大纲和部分表结构。</x:v>
      </x:c>
      <x:c r="I165" s="50" t="str">
        <x:v>大量字段、规则、估算和路由硬编码。</x:v>
      </x:c>
      <x:c r="J165" s="50" t="str">
        <x:v>新增第三类任务包只增加配置和插件，不修改核心项目、编制和发布流程。</x:v>
      </x:c>
      <x:c r="K165" s="50" t="str">
        <x:v>P1</x:v>
      </x:c>
      <x:c r="L165" s="50" t="str">
        <x:v>一期必选</x:v>
      </x:c>
      <x:c r="M165" s="50" t="str">
        <x:v>评审补充</x:v>
      </x:c>
      <x:c r="N165" s="50" t="str">
        <x:v>待分配</x:v>
      </x:c>
      <x:c r="O165" s="54" t="n">
        <x:v>46206</x:v>
      </x:c>
      <x:c r="P165" s="50" t="str"/>
    </x:row>
  </x:sheetData>
  <x:mergeCells>
    <x:mergeCell ref="A1:P1"/>
    <x:mergeCell ref="A2:P2"/>
  </x:mergeCells>
  <x:conditionalFormatting sqref="G5:G165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{108F941F-19AF-2599-FDA8-49A977EB8D63}</x14:id>
        </x:ext>
      </x:extLst>
    </x:cfRule>
  </x:conditionalFormatting>
  <x:conditionalFormatting sqref="F5:F165">
    <x:cfRule type="expression" dxfId="0" priority="2">
      <x:formula>F5="完成"</x:formula>
    </x:cfRule>
    <x:cfRule type="expression" dxfId="1" priority="3">
      <x:formula>F5="基本完成"</x:formula>
    </x:cfRule>
    <x:cfRule type="expression" dxfId="2" priority="4">
      <x:formula>F5="部分完成"</x:formula>
    </x:cfRule>
    <x:cfRule type="expression" dxfId="3" priority="5">
      <x:formula>F5="少量实现"</x:formula>
    </x:cfRule>
    <x:cfRule type="expression" dxfId="4" priority="6">
      <x:formula>F5="未完成"</x:formula>
    </x:cfRule>
  </x:conditionalFormatting>
  <x:conditionalFormatting sqref="K5:K165">
    <x:cfRule type="expression" dxfId="5" priority="7">
      <x:formula>K5="P0"</x:formula>
    </x:cfRule>
    <x:cfRule type="expression" dxfId="6" priority="8">
      <x:formula>K5="P1"</x:formula>
    </x:cfRule>
  </x:conditionalFormatting>
  <x:dataValidations count="4">
    <x:dataValidation type="list" sqref="F5:F165">
      <x:formula1>核查字典!$A$2:$A$7</x:formula1>
    </x:dataValidation>
    <x:dataValidation type="list" sqref="K5:K165">
      <x:formula1>核查字典!$B$2:$B$5</x:formula1>
    </x:dataValidation>
    <x:dataValidation type="list" sqref="L5:L165">
      <x:formula1>核查字典!$C$2:$C$6</x:formula1>
    </x:dataValidation>
    <x:dataValidation type="list" sqref="N5:N165">
      <x:formula1>核查字典!$D$2:$D$9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0251ff7cf34f0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8F941F-19AF-2599-FDA8-49A977EB8D63}">
            <x14:dataBar gradient="1">
              <x14:cfvo type="min"/>
              <x14:cfvo type="max"/>
              <x14:fillColor rgb="FF5B9BD5"/>
            </x14:dataBar>
          </x14:cfRule>
          <xm:sqref>G5:G165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1" t="str">
        <x:v>状态</x:v>
      </x:c>
      <x:c r="B1" s="32" t="str">
        <x:v>优先级</x:v>
      </x:c>
      <x:c r="C1" s="32" t="str">
        <x:v>阶段归属</x:v>
      </x:c>
      <x:c r="D1" s="33" t="str">
        <x:v>责任建议</x:v>
      </x:c>
    </x:row>
    <x:row r="2">
      <x:c r="A2" s="48" t="str">
        <x:v>完成</x:v>
      </x:c>
      <x:c r="B2" s="48" t="str">
        <x:v>P0</x:v>
      </x:c>
      <x:c r="C2" s="48" t="str">
        <x:v>一期必选</x:v>
      </x:c>
      <x:c r="D2" s="48" t="str">
        <x:v>产品</x:v>
      </x:c>
    </x:row>
    <x:row r="3">
      <x:c r="A3" s="48" t="str">
        <x:v>基本完成</x:v>
      </x:c>
      <x:c r="B3" s="48" t="str">
        <x:v>P1</x:v>
      </x:c>
      <x:c r="C3" s="48" t="str">
        <x:v>一期轻量</x:v>
      </x:c>
      <x:c r="D3" s="48" t="str">
        <x:v>前端</x:v>
      </x:c>
    </x:row>
    <x:row r="4">
      <x:c r="A4" s="48" t="str">
        <x:v>部分完成</x:v>
      </x:c>
      <x:c r="B4" s="48" t="str">
        <x:v>P2</x:v>
      </x:c>
      <x:c r="C4" s="48" t="str">
        <x:v>后续阶段</x:v>
      </x:c>
      <x:c r="D4" s="48" t="str">
        <x:v>后端</x:v>
      </x:c>
    </x:row>
    <x:row r="5">
      <x:c r="A5" s="48" t="str">
        <x:v>少量实现</x:v>
      </x:c>
      <x:c r="B5" s="48" t="str">
        <x:v>P3</x:v>
      </x:c>
      <x:c r="C5" s="48" t="str">
        <x:v>平台底座</x:v>
      </x:c>
      <x:c r="D5" s="48" t="str">
        <x:v>算法/RAG</x:v>
      </x:c>
    </x:row>
    <x:row r="6">
      <x:c r="A6" s="48" t="str">
        <x:v>未完成</x:v>
      </x:c>
      <x:c r="B6" s="48"/>
      <x:c r="C6" s="48" t="str">
        <x:v>全阶段</x:v>
      </x:c>
      <x:c r="D6" s="48" t="str">
        <x:v>测试</x:v>
      </x:c>
    </x:row>
    <x:row r="7">
      <x:c r="A7" s="48" t="str">
        <x:v>不适用</x:v>
      </x:c>
      <x:c r="B7" s="48"/>
      <x:c r="C7" s="48"/>
      <x:c r="D7" s="48" t="str">
        <x:v>运维/安全</x:v>
      </x:c>
    </x:row>
    <x:row r="8">
      <x:c r="A8" s="48"/>
      <x:c r="B8" s="48"/>
      <x:c r="C8" s="48"/>
      <x:c r="D8" s="48" t="str">
        <x:v>项目经理</x:v>
      </x:c>
    </x:row>
    <x:row r="9">
      <x:c r="A9" s="48"/>
      <x:c r="B9" s="48"/>
      <x:c r="C9" s="48"/>
      <x:c r="D9" s="48" t="str">
        <x:v>待分配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35" hidden="0" customWidth="1"/>
    <x:col min="4" max="4" width="55" hidden="0" customWidth="1"/>
    <x:col min="5" max="5" width="45" hidden="0" customWidth="1"/>
    <x:col min="6" max="6" width="25" hidden="0" customWidth="1"/>
    <x:col min="7" max="7" width="13" hidden="0" customWidth="1"/>
    <x:col min="8" max="8" width="50" hidden="0" customWidth="1"/>
  </x:cols>
  <x:sheetData>
    <x:row r="1" ht="28" customHeight="1">
      <x:c r="A1" s="76" t="str">
        <x:v>功能完成度 Checklist 更新记录</x:v>
      </x:c>
      <x:c r="B1" s="76"/>
      <x:c r="C1" s="76"/>
      <x:c r="D1" s="76"/>
      <x:c r="E1" s="76"/>
      <x:c r="F1" s="76"/>
      <x:c r="G1" s="76"/>
      <x:c r="H1" s="76"/>
    </x:row>
    <x:row r="2" ht="34" customHeight="1">
      <x:c r="A2" s="79" t="str">
        <x:v>用于记录每次代码迭代对功能完成度、验证结果和遗留边界的影响。</x:v>
      </x:c>
      <x:c r="B2" s="79"/>
      <x:c r="C2" s="79"/>
      <x:c r="D2" s="79"/>
      <x:c r="E2" s="79"/>
      <x:c r="F2" s="79"/>
      <x:c r="G2" s="79"/>
      <x:c r="H2" s="79"/>
    </x:row>
    <x:row r="4" ht="30" customHeight="1">
      <x:c r="A4" s="84" t="str">
        <x:v>更新日期</x:v>
      </x:c>
      <x:c r="B4" s="84" t="str">
        <x:v>迭代范围</x:v>
      </x:c>
      <x:c r="C4" s="84" t="str">
        <x:v>代码版本/包</x:v>
      </x:c>
      <x:c r="D4" s="84" t="str">
        <x:v>完成内容</x:v>
      </x:c>
      <x:c r="E4" s="84" t="str">
        <x:v>验证结果</x:v>
      </x:c>
      <x:c r="F4" s="84" t="str">
        <x:v>更新检查项</x:v>
      </x:c>
      <x:c r="G4" s="84" t="str">
        <x:v>综合完成度</x:v>
      </x:c>
      <x:c r="H4" s="84" t="str">
        <x:v>遗留事项</x:v>
      </x:c>
    </x:row>
    <x:row r="5" ht="90" customHeight="1">
      <x:c r="A5" s="54" t="n">
        <x:v>46206</x:v>
      </x:c>
      <x:c r="B5" s="50" t="str">
        <x:v>PDD 5.1 工作台页面增强</x:v>
      </x:c>
      <x:c r="C5" s="50" t="str">
        <x:v>zhujian-planning-platform-workbench-20260703</x:v>
      </x:c>
      <x:c r="D5" s="50" t="str">
        <x:v>新增Dashboard后端聚合服务和认证API；当前/全部项目切换；项目指标、流程进度、动态待办、待审核队列、风险提醒、异步任务中心、快捷入口、近期活动、项目组合概览。</x:v>
      </x:c>
      <x:c r="E5" s="50" t="str">
        <x:v>Vue TypeScript检查通过；Vite生产构建通过；Python compileall通过；工作台聚合单元测试通过；FastAPI路由导入验证通过。</x:v>
      </x:c>
      <x:c r="F5" s="50" t="str">
        <x:v>CHK-5.1-01 至 CHK-5.1-08</x:v>
      </x:c>
      <x:c r="G5" s="52" t="n">
        <x:v>0.58</x:v>
      </x:c>
      <x:c r="H5" s="50" t="str">
        <x:v>工作项/通知/审核任务尚未持久化；任务取消重试未实现；项目成员权限和领导只读口径仍需完善。</x:v>
      </x:c>
    </x:row>
    <x:row r="6" ht="90" customHeight="1">
      <x:c r="A6" s="54" t="n">
        <x:v>46209</x:v>
      </x:c>
      <x:c r="B6" s="50" t="str">
        <x:v>PDD 5.1 工作台边界内继续完善</x:v>
      </x:c>
      <x:c r="C6" s="50" t="str">
        <x:v>zhujian-planning-platform_v1.2_20260706</x:v>
      </x:c>
      <x:c r="D6" s="50" t="str">
        <x:v>补充工作项转交前端入口；补充工作项/审核任务行级记录查看；增加工作项和审核任务动作级权限校验；修正审核通过错误写入退回事件的问题；不新增非工作台业务模块。</x:v>
      </x:c>
      <x:c r="E6" s="50" t="str">
        <x:v>Python compileall通过；Dashboard聚合单元测试通过；前端依赖安装在当前容器不完整，typecheck/build建议在本地npm ci后执行。</x:v>
      </x:c>
      <x:c r="F6" s="50" t="str">
        <x:v>CHK-5.1-02、CHK-5.1-03、CHK-5.1-08</x:v>
      </x:c>
      <x:c r="G6" s="52" t="n">
        <x:v>0.64</x:v>
      </x:c>
      <x:c r="H6" s="50" t="str">
        <x:v>仍未做完整RBAC、工作项SLA、正式会签规则、通知订阅推送、任务心跳和Worker安全停止点。</x:v>
      </x:c>
    </x:row>
    <x:row r="7" ht="90" customHeight="1">
      <x:c r="A7" s="89" t="n">
        <x:v>46209</x:v>
      </x:c>
      <x:c r="B7" s="48" t="str">
        <x:v>PDD 5.1 工作台 v1.4 边界内完善</x:v>
      </x:c>
      <x:c r="C7" s="48" t="str">
        <x:v>zhujian-planning-platform_v1.4_20260706</x:v>
      </x:c>
      <x:c r="D7" s="48" t="str">
        <x:v>修正版本号顺延：上一版按v1.3归档，本版为v1.4；新增工作项/审核任务SLA提示、行级动作权限返回、前端按权限展示按钮、疑似卡住任务task_events留痕；未扩展非工作台业务。</x:v>
      </x:c>
      <x:c r="E7" s="48" t="str">
        <x:v>Python compileall通过；Dashboard聚合单元测试通过；前端依赖安装在当前容器超时，typecheck/build建议在本地npm ci后执行。</x:v>
      </x:c>
      <x:c r="F7" s="48" t="str">
        <x:v>CHK-5.1-01 至 CHK-5.1-08</x:v>
      </x:c>
      <x:c r="G7" s="67" t="n">
        <x:v>0.66</x:v>
      </x:c>
      <x:c r="H7" s="48" t="str">
        <x:v>仍未做完整RBAC、SLA自动升级、正式会签规则、通知订阅推送、Worker安全停止点、单卡后端隔离失败。</x:v>
      </x:c>
    </x:row>
    <x:row r="8" ht="90" customHeight="1">
      <x:c r="A8" s="89" t="n">
        <x:v>46209</x:v>
      </x:c>
      <x:c r="B8" s="48" t="str">
        <x:v>PDD 5.1 工作台 v1.5 边界内完善</x:v>
      </x:c>
      <x:c r="C8" s="48" t="str">
        <x:v>zhujian-planning-platform_v1.5_20260706</x:v>
      </x:c>
      <x:c r="D8" s="48" t="str">
        <x:v>新增SLA提醒持久化、SLA详细字段、行级动作原因、任务心跳、疑似卡住分钟数、工作台健康状态cardHealth和SLA摘要slaSummary；未新增非工作台业务模块。</x:v>
      </x:c>
      <x:c r="E8" s="48" t="str">
        <x:v>Python compileall通过；Dashboard聚合单元测试通过；Checklist公式扫描通过；前端依赖安装在当前容器不可用，typecheck/build建议本地npm ci后执行。</x:v>
      </x:c>
      <x:c r="F8" s="48" t="str">
        <x:v>CHK-5.1-01 至 CHK-5.1-08</x:v>
      </x:c>
      <x:c r="G8" s="67" t="n">
        <x:v>0.68</x:v>
      </x:c>
      <x:c r="H8" s="48" t="str">
        <x:v>仍未做完整RBAC、SLA自动升级、正式会签规则、通知推送、Worker安全停止点、后端单卡完全隔离执行。</x:v>
      </x:c>
    </x:row>
  </x:sheetData>
  <x:mergeCells>
    <x:mergeCell ref="A1:H1"/>
    <x:mergeCell ref="A2:H2"/>
  </x:mergeCells>
  <x:pageMargins left="0.7" right="0.7" top="0.75" bottom="0.75" header="0.3" footer="0.3"/>
</x:worksheet>
</file>