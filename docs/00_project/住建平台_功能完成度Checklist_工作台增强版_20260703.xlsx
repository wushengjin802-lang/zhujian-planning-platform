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da614a699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b9ca19074134310"/>
    <x:sheet xmlns:r="http://schemas.openxmlformats.org/officeDocument/2006/relationships" name="功能Checklist" sheetId="2" r:id="R066458af56af48a8"/>
    <x:sheet xmlns:r="http://schemas.openxmlformats.org/officeDocument/2006/relationships" name="核查字典" sheetId="3" r:id="R729ccbf1ffae4b31"/>
    <x:sheet xmlns:r="http://schemas.openxmlformats.org/officeDocument/2006/relationships" name="更新记录" sheetId="4" r:id="R0c974eb1713a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407268e934f37" /><Relationship Type="http://schemas.openxmlformats.org/officeDocument/2006/relationships/theme" Target="/xl/theme/theme1.xml" Id="Rbfa51504831e4280" /><Relationship Type="http://schemas.openxmlformats.org/officeDocument/2006/relationships/sharedStrings" Target="/xl/sharedStrings.xml" Id="R243c6d2bac4c4b3e" /><Relationship Type="http://schemas.openxmlformats.org/officeDocument/2006/relationships/worksheet" Target="/xl/worksheets/sheet1.xml" Id="R8b9ca19074134310" /><Relationship Type="http://schemas.openxmlformats.org/officeDocument/2006/relationships/worksheet" Target="/xl/worksheets/sheet2.xml" Id="R066458af56af48a8" /><Relationship Type="http://schemas.openxmlformats.org/officeDocument/2006/relationships/worksheet" Target="/xl/worksheets/sheet3.xml" Id="R729ccbf1ffae4b31" /><Relationship Type="http://schemas.openxmlformats.org/officeDocument/2006/relationships/worksheet" Target="/xl/worksheets/sheet4.xml" Id="R0c974eb1713a42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ee7a570e36437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ee7a570e3643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07c0ff5f214c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bb59415ff346e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0.20031055900621128</x:v>
      </x:c>
      <x:c r="C6" s="48"/>
      <x:c r="D6" s="48" t="str">
        <x:v>基本完成</x:v>
      </x:c>
      <x:c r="E6" s="48" t="n">
        <x:f>COUNTIF('功能Checklist'!F5:F165,"基本完成")</x:f>
        <x:v>6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0.23646616541353388</x:v>
      </x:c>
      <x:c r="C7" s="48"/>
      <x:c r="D7" s="48" t="str">
        <x:v>部分完成</x:v>
      </x:c>
      <x:c r="E7" s="48" t="n">
        <x:f>COUNTIF('功能Checklist'!F5:F165,"部分完成")</x:f>
        <x:v>39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69</x:v>
      </x:c>
      <x:c r="F8" s="48"/>
      <x:c r="G8" s="48"/>
      <x:c r="H8" s="48"/>
    </x:row>
    <x:row r="9">
      <x:c r="A9" s="48" t="str">
        <x:v>2026-07-03复评综合判断</x:v>
      </x:c>
      <x:c r="B9" s="67" t="n">
        <x:v>0.58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58%为本次工作台增强后的架构、功能、交付物和退出标准综合判断；细项平均按161项等权统计，更严格且不等同于综合评审总分。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0.4500000000000001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0.25523809523809526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0.15499999999999997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0.029629629629629627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71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32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c507c0ff5f214cfc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部分完成</x:v>
      </x:c>
      <x:c r="G5" s="52" t="n">
        <x:v>0.65</x:v>
      </x:c>
      <x:c r="H5" s="50" t="str">
        <x:v>新增认证工作台聚合接口 GET /api/dashboard；支持当前项目/全部项目范围；按用户角色返回 management/personal 视角；前端聚合项目进度、待办、审核、风险、任务、成果和近期活动。</x:v>
      </x:c>
      <x:c r="I5" s="50" t="str">
        <x:v>角色模式已区分，但尚未接入 project_members 项目成员权限和严格数据范围；管理视角仍不能替代正式领导驾驶舱。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46206</x:v>
      </x:c>
      <x:c r="P5" s="50" t="str">
        <x:v>2026-07-03 工作台增强：新增Dashboard聚合服务、范围切换、6类指标、流程进度和项目组合概览。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部分完成</x:v>
      </x:c>
      <x:c r="G6" s="52" t="n">
        <x:v>0.55</x:v>
      </x:c>
      <x:c r="H6" s="50" t="str">
        <x:v>工作台可从未解析资料、待确认/冲突事实、未完成章节和未关闭质量问题实时派生待办；按P0-P3排序，并可跳转对应项目和业务页面。</x:v>
      </x:c>
      <x:c r="I6" s="50" t="str">
        <x:v>当前待办为实时派生结果，尚无独立 work_item 持久化模型，不支持领取、转交、截止时间、手工关闭和处理历史。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46206</x:v>
      </x:c>
      <x:c r="P6" s="50" t="str">
        <x:v>2026-07-03 工作台增强：完成动态待办展示与业务跳转；持久化工作项留待后续。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部分完成</x:v>
      </x:c>
      <x:c r="G7" s="52" t="n">
        <x:v>0.55</x:v>
      </x:c>
      <x:c r="H7" s="50" t="str">
        <x:v>新增待审核页签，聚合 status=待审核 的报告章节和 status=calculated 的投资估算确认事项；展示项目、提交人、优先级、状态和审核说明。</x:v>
      </x:c>
      <x:c r="I7" s="50" t="str">
        <x:v>尚无 review_task、指定审核人、截止时间、转交、会签、退回意见和复审链路；队列仍由业务状态派生。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46206</x:v>
      </x:c>
      <x:c r="P7" s="50" t="str">
        <x:v>2026-07-03 工作台增强：完成章节与投资测算待审核队列。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部分完成</x:v>
      </x:c>
      <x:c r="G8" s="52" t="n">
        <x:v>0.65</x:v>
      </x:c>
      <x:c r="H8" s="50" t="str">
        <x:v>工作台新增异步任务中心，统一展示资料解析、质量检查和成果导出任务；支持全部/运行中/失败/已完成筛选，展示进度、状态、更新时间和业务跳转。</x:v>
      </x:c>
      <x:c r="I8" s="50" t="str">
        <x:v>任务仍缺统一 job 模型、阶段级进度、详细日志、错误码、AI/计算任务覆盖和跨任务链路；部分进度为状态映射值。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46206</x:v>
      </x:c>
      <x:c r="P8" s="50" t="str">
        <x:v>2026-07-03 工作台增强：完成任务中心页面和后端任务聚合。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少量实现</x:v>
      </x:c>
      <x:c r="G9" s="52" t="n">
        <x:v>0.2</x:v>
      </x:c>
      <x:c r="H9" s="50" t="str">
        <x:v>任务中心已能识别排队、运行、完成和失败状态，并跳转到对应业务页面。</x:v>
      </x:c>
      <x:c r="I9" s="50" t="str">
        <x:v>未实现 Celery revoke、业务取消标记、安全停止点、retry_of、重试次数和原参数重试。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46206</x:v>
      </x:c>
      <x:c r="P9" s="50" t="str">
        <x:v>本次仅完善任务可视化，取消与重试未纳入本次实现。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部分完成</x:v>
      </x:c>
      <x:c r="G10" s="52" t="n">
        <x:v>0.45</x:v>
      </x:c>
      <x:c r="H10" s="50" t="str">
        <x:v>工作台根据严重/阻断问题、待审核章节、失败任务和未解析资料实时生成风险提醒；支持分级展示和跳转定位。</x:v>
      </x:c>
      <x:c r="I10" s="50" t="str">
        <x:v>提醒为实时派生，不是持久化 notification；尚无已读/未读、订阅、消息推送、用户定向和通知历史。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46206</x:v>
      </x:c>
      <x:c r="P10" s="50" t="str">
        <x:v>2026-07-03 工作台增强：完成页面级动态提醒，正式通知中心待后续。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0.45</x:v>
      </x:c>
      <x:c r="H11" s="50" t="str">
        <x:v>支持全部项目范围，展示跨项目进度、负责人、资料解析、事实确认、章节审核、风险和未关闭问题；角色模式可识别管理类角色。</x:v>
      </x:c>
      <x:c r="I11" s="50" t="str">
        <x:v>尚未严格按领导角色和项目授权过滤；里程碑、方案比较和只读发布数据口径未完整接入。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46206</x:v>
      </x:c>
      <x:c r="P11" s="50" t="str">
        <x:v>2026-07-03 工作台增强：新增项目组合概览，尚非完整领导驾驶舱。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少量实现</x:v>
      </x:c>
      <x:c r="G12" s="52" t="n">
        <x:v>0.1</x:v>
      </x:c>
      <x:c r="H12" s="50" t="str">
        <x:v>工作台加载具备独立 loading 状态和空数据展示，前端各区域在无数据时可降级为空状态。</x:v>
      </x:c>
      <x:c r="I12" s="50" t="str">
        <x:v>后端仍为单次聚合请求，未实现单卡隔离失败、局部错误标识、任务心跳、疑似卡住检测和管理员终止。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46206</x:v>
      </x:c>
      <x:c r="P12" s="50" t="str">
        <x:v>本次完成基础空状态容错，服务级卡片容错与卡住检测未完成。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bb59415ff346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</x:sheetData>
  <x:mergeCells>
    <x:mergeCell ref="A1:H1"/>
    <x:mergeCell ref="A2:H2"/>
  </x:mergeCells>
  <x:pageMargins left="0.7" right="0.7" top="0.75" bottom="0.75" header="0.3" footer="0.3"/>
</x:worksheet>
</file>