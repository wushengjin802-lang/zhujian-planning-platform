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38767b8bc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8c6e02974b44c49"/>
    <x:sheet xmlns:r="http://schemas.openxmlformats.org/officeDocument/2006/relationships" name="功能Checklist" sheetId="2" r:id="R919da3e3f3314225"/>
    <x:sheet xmlns:r="http://schemas.openxmlformats.org/officeDocument/2006/relationships" name="核查字典" sheetId="3" r:id="R6e033cd7dbd445ec"/>
    <x:sheet xmlns:r="http://schemas.openxmlformats.org/officeDocument/2006/relationships" name="更新记录" sheetId="4" r:id="R15c2b7705e2d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1a9d788734ac2" /><Relationship Type="http://schemas.openxmlformats.org/officeDocument/2006/relationships/theme" Target="/xl/theme/theme1.xml" Id="Rc3f620550b9741f3" /><Relationship Type="http://schemas.openxmlformats.org/officeDocument/2006/relationships/sharedStrings" Target="/xl/sharedStrings.xml" Id="Rf9673c100d4b4447" /><Relationship Type="http://schemas.openxmlformats.org/officeDocument/2006/relationships/worksheet" Target="/xl/worksheets/sheet1.xml" Id="R48c6e02974b44c49" /><Relationship Type="http://schemas.openxmlformats.org/officeDocument/2006/relationships/worksheet" Target="/xl/worksheets/sheet2.xml" Id="R919da3e3f3314225" /><Relationship Type="http://schemas.openxmlformats.org/officeDocument/2006/relationships/worksheet" Target="/xl/worksheets/sheet3.xml" Id="R6e033cd7dbd445ec" /><Relationship Type="http://schemas.openxmlformats.org/officeDocument/2006/relationships/worksheet" Target="/xl/worksheets/sheet4.xml" Id="R15c2b7705e2d47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6f7bef6c53425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6f7bef6c5342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b60c5f461e43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5d0a037a45474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0.2461490683229814</x:v>
      </x:c>
      <x:c r="C6" s="48"/>
      <x:c r="D6" s="48" t="str">
        <x:v>基本完成</x:v>
      </x:c>
      <x:c r="E6" s="48" t="n">
        <x:f>COUNTIF('功能Checklist'!F5:F165,"基本完成")</x:f>
        <x:v>20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0.2839097744360903</x:v>
      </x:c>
      <x:c r="C7" s="48"/>
      <x:c r="D7" s="48" t="str">
        <x:v>部分完成</x:v>
      </x:c>
      <x:c r="E7" s="48" t="n">
        <x:f>COUNTIF('功能Checklist'!F5:F165,"部分完成")</x:f>
        <x:v>35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33</x:v>
      </x:c>
      <x:c r="C8" s="48"/>
      <x:c r="D8" s="48" t="str">
        <x:v>少量实现</x:v>
      </x:c>
      <x:c r="E8" s="48" t="n">
        <x:f>COUNTIF('功能Checklist'!F5:F165,"少量实现")</x:f>
        <x:v>60</x:v>
      </x:c>
      <x:c r="F8" s="48"/>
      <x:c r="G8" s="48"/>
      <x:c r="H8" s="48"/>
    </x:row>
    <x:row r="9">
      <x:c r="A9" s="48" t="str">
        <x:v>2026-07-06 v2.3综合判断</x:v>
      </x:c>
      <x:c r="B9" s="67" t="n">
        <x:v>0.75</x:v>
      </x:c>
      <x:c r="C9" s="48"/>
      <x:c r="D9" s="48" t="str">
        <x:v>未完成</x:v>
      </x:c>
      <x:c r="E9" s="48" t="n">
        <x:f>COUNTIF('功能Checklist'!F5:F165,"未完成")</x:f>
        <x:v>46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75%为v2.3项目中心继续完善后的综合判断；本轮只增强PDD 5.2项目中心的模板/地区规则迁移差异分析、迁移计划和项目修订链基础模型，未扩展非项目中心模块。细项平均按161项等权统计，更严格且不等同于综合评审总分。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0.3014285714285715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0.702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0.22800000000000004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0.06925925925925927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39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63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29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0db60c5f461e437d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0.85</x:v>
      </x:c>
      <x:c r="H13" s="50" t="str">
        <x:v>v2.0新增项目中心聚合API和项目详情API；前端项目台账支持搜索、状态/风险筛选、详情抽屉、统计指标和初始化状态；项目基本信息可编辑。</x:v>
      </x:c>
      <x:c r="I13" s="50" t="str">
        <x:v>项目主页已可用于管理，但专业项目主页组件、复杂视图布局和全量权限贯通仍待完善。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46209</x:v>
      </x:c>
      <x:c r="P13" s="50" t="str">
        <x:v>2026-07-06 v2.0：项目中心从简单卡片升级为台账+详情抽屉。</x:v>
      </x:c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基本完成</x:v>
      </x:c>
      <x:c r="G14" s="52" t="n">
        <x:v>0.72</x:v>
      </x:c>
      <x:c r="H14" s="50" t="str">
        <x:v>v2.2项目中心建档向导支持保存、载入、删除草稿；项目中心聚合返回wizardDrafts；创建项目时可关联draftId并自动标记草稿已使用。</x:v>
      </x:c>
      <x:c r="I14" s="50" t="str">
        <x:v>草稿已实现用户级保存，但尚未实现多人协作草稿、草稿审批、草稿模板差异校验和草稿过期清理策略。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46209</x:v>
      </x:c>
      <x:c r="P14" s="50" t="str">
        <x:v>2026-07-06 v2.2：建档向导草稿保存/载入/删除落地。</x:v>
      </x:c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基本完成</x:v>
      </x:c>
      <x:c r="G15" s="52" t="n">
        <x:v>0.78</x:v>
      </x:c>
      <x:c r="H15" s="50" t="str">
        <x:v>v2.3在v2.2初始化包基础上增加迁移差异预览和迁移计划应用；应用计划时根据目标地区/初始化规则补齐资料清单、事实框架、章节目录和成果项，不自动删除现有项。</x:v>
      </x:c>
      <x:c r="I15" s="50" t="str">
        <x:v>初始化包版本迁移已有计划和应用动作，但尚未支持自动回滚、审批流和模板规则差异自动合并策略。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46209</x:v>
      </x:c>
      <x:c r="P15" s="50" t="str">
        <x:v>2026-07-06 v2.3：初始化包支持迁移预览、迁移计划和补齐式应用。</x:v>
      </x:c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基本完成</x:v>
      </x:c>
      <x:c r="G16" s="52" t="n">
        <x:v>0.72</x:v>
      </x:c>
      <x:c r="H16" s="50" t="str">
        <x:v>v2.3新增模板/地区规则迁移差异分析，比较当前项目与目标规则的资料、事实、章节、成果差异；迁移计划保存from/to模板版本、规则版本、风险等级和diff。</x:v>
      </x:c>
      <x:c r="I16" s="50" t="str">
        <x:v>模板仍未形成正式发布审批和不可变迁移审批流；切换模板前已有差异分析，但尚未做人工审批和自动迁移回滚。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46209</x:v>
      </x:c>
      <x:c r="P16" s="50" t="str">
        <x:v>2026-07-06 v2.3：模板/规则迁移差异分析和计划落地。</x:v>
      </x:c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部分完成</x:v>
      </x:c>
      <x:c r="G17" s="52" t="n">
        <x:v>0.52</x:v>
      </x:c>
      <x:c r="H17" s="50" t="str">
        <x:v>v2.3沿用项目中心管理权限控制，迁移计划和修订链只允许项目负责人或管理角色操作。</x:v>
      </x:c>
      <x:c r="I17" s="50" t="str">
        <x:v>成员权限仍未贯穿全部业务接口；项目角色细粒度授权、有效期和负责人唯一性强约束未完成。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46209</x:v>
      </x:c>
      <x:c r="P17" s="50" t="str">
        <x:v>2026-07-06 v2.3：新增迁移/修订动作权限，未扩展全量RBAC。</x:v>
      </x:c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基本完成</x:v>
      </x:c>
      <x:c r="G18" s="52" t="n">
        <x:v>0.7</x:v>
      </x:c>
      <x:c r="H18" s="50" t="str">
        <x:v>新增project_milestones表与前端维护页面，支持新增、编辑名称/负责人/状态/计划日期和完成时间。</x:v>
      </x:c>
      <x:c r="I18" s="50" t="str">
        <x:v>逾期自动计算、工作台联动提醒、里程碑依赖关系和审批关闭未完成。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46209</x:v>
      </x:c>
      <x:c r="P18" s="50" t="str">
        <x:v>2026-07-06 v2.0：项目里程碑实体和维护页面完成。</x:v>
      </x:c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部分完成</x:v>
      </x:c>
      <x:c r="G19" s="52" t="n">
        <x:v>0.5</x:v>
      </x:c>
      <x:c r="H19" s="50" t="str">
        <x:v>项目中心新增region、regionRuleId，建档向导和详情页可维护地区与初始化规则；内置规则可按项目类型补充专项资料、事实和成果项。</x:v>
      </x:c>
      <x:c r="I19" s="50" t="str">
        <x:v>密级仍未影响下载、检索、模型外发、水印和降密审批；地区规则尚未接入外部政策库。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46209</x:v>
      </x:c>
      <x:c r="P19" s="50" t="str">
        <x:v>2026-07-06 v2.2：项目设置补充地区规则绑定。</x:v>
      </x:c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基本完成</x:v>
      </x:c>
      <x:c r="G20" s="52" t="n">
        <x:v>0.8</x:v>
      </x:c>
      <x:c r="H20" s="50" t="str">
        <x:v>状态门禁保持v2.1能力，并可在修订链中记录项目状态、门禁和初始化基线快照，便于状态变更后的项目修订追溯。</x:v>
      </x:c>
      <x:c r="I20" s="50" t="str">
        <x:v>关闭后全模块只读、正式审签确认和跨模块写入拦截仍未完成。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46209</x:v>
      </x:c>
      <x:c r="P20" s="50" t="str">
        <x:v>2026-07-06 v2.3：状态门禁结果纳入修订基线快照。</x:v>
      </x:c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基本完成</x:v>
      </x:c>
      <x:c r="G21" s="52" t="n">
        <x:v>0.65</x:v>
      </x:c>
      <x:c r="H21" s="50" t="str">
        <x:v>v2.3新增project_revisions项目修订链基础模型，支持创建修订、父修订、修订号、修订原因、状态和基线快照；项目复制继续生成初始化包。</x:v>
      </x:c>
      <x:c r="I21" s="50" t="str">
        <x:v>已具备修订链基础模型，但尚未实现已发布成果修订版、修订审批流、版本对比和回滚。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46209</x:v>
      </x:c>
      <x:c r="P21" s="50" t="str">
        <x:v>2026-07-06 v2.3：项目修订链基础模型落地。</x:v>
      </x:c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基本完成</x:v>
      </x:c>
      <x:c r="G22" s="52" t="n">
        <x:v>0.78</x:v>
      </x:c>
      <x:c r="H22" s="50" t="str">
        <x:v>项目编号唯一性保持v2.0能力；v2.2不扩展编号规则中心，维持自动编号生成和唯一索引。</x:v>
      </x:c>
      <x:c r="I22" s="50" t="str">
        <x:v>编号规则尚未配置化，多机构前缀和并发重试仍未完成。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46209</x:v>
      </x:c>
      <x:c r="P22" s="50" t="str">
        <x:v>2026-07-06 v2.2：本项保持已有能力。</x:v>
      </x:c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d0a037a45474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5.2 项目中心 v2.0 起始版本</x:v>
      </x:c>
      <x:c r="C9" s="48" t="str">
        <x:v>zhujian-planning-platform_v2.0_20260706</x:v>
      </x:c>
      <x:c r="D9" s="48" t="str">
        <x:v>从工作台转入项目中心开发；新增项目中心聚合API、项目详情、建档向导、成员维护、里程碑维护、模板版本/密级、状态流转、项目复制和项目编号唯一性；未扩展非项目中心业务。</x:v>
      </x:c>
      <x:c r="E9" s="48" t="str">
        <x:v>Python compileall通过；ProjectCenter单元测试通过；Dashboard回归测试通过；前端依赖未安装，typecheck/build建议本地npm ci后执行。</x:v>
      </x:c>
      <x:c r="F9" s="48" t="str">
        <x:v>CHK-5.2-01 至 CHK-5.2-10</x:v>
      </x:c>
      <x:c r="G9" s="67" t="n">
        <x:v>0.7</x:v>
      </x:c>
      <x:c r="H9" s="48" t="str">
        <x:v>仍需完成向导草稿、完整初始化包、成员权限全接口贯通、密级治理、关闭/归档门禁、修订链和编号规则中心。</x:v>
      </x:c>
    </x:row>
    <x:row r="10" ht="90" customHeight="1">
      <x:c r="A10" s="89" t="n">
        <x:v>46209</x:v>
      </x:c>
      <x:c r="B10" s="48" t="str">
        <x:v>PDD 5.2 项目中心 v2.1</x:v>
      </x:c>
      <x:c r="C10" s="48" t="str">
        <x:v>zhujian-planning-platform_v2.1_20260706</x:v>
      </x:c>
      <x:c r="D10" s="48" t="str">
        <x:v>新增项目初始化包、资料清单、事实框架、章节目录、成果项计划、初始化记录；创建/复制项目自动补齐初始化包；新增资料清单状态维护；新增关闭/归档状态门禁和前端门禁提示。</x:v>
      </x:c>
      <x:c r="E10" s="48" t="str">
        <x:v>Python compileall通过；ProjectCenter单元测试通过；Dashboard回归测试通过；Checklist公式扫描通过；当前容器缺少vue-tsc，前端typecheck/build建议本地npm ci后执行。</x:v>
      </x:c>
      <x:c r="F10" s="48" t="str">
        <x:v>CHK-5.2-03、CHK-5.2-04、CHK-5.2-07、CHK-5.2-08、CHK-5.2-09</x:v>
      </x:c>
      <x:c r="G10" s="67" t="n">
        <x:v>0.72</x:v>
      </x:c>
      <x:c r="H10" s="48" t="str">
        <x:v>仍未做模板驱动差异化初始化、向导草稿、地区规则、全量业务接口RBAC、关闭后全模块只读、项目修订链。</x:v>
      </x:c>
    </x:row>
    <x:row r="11" ht="90" customHeight="1">
      <x:c r="A11" s="89" t="n">
        <x:v>46209</x:v>
      </x:c>
      <x:c r="B11" s="48" t="str">
        <x:v>PDD 5.2 项目中心 v2.3</x:v>
      </x:c>
      <x:c r="C11" s="48" t="str">
        <x:v>zhujian-planning-platform_v2.3_20260706</x:v>
      </x:c>
      <x:c r="D11" s="48" t="str">
        <x:v>新增模板/地区规则迁移差异预览、迁移计划、迁移计划应用、项目修订链基础模型、项目详情迁移与修订页签；应用迁移计划只补齐新增初始化项，不自动删除现有项目骨架。</x:v>
      </x:c>
      <x:c r="E11" s="48" t="str">
        <x:v>Python compileall通过；ProjectCenter单元测试通过；Dashboard回归测试通过；Checklist公式扫描通过；当前容器缺少vue-tsc，前端typecheck/build建议本地npm ci后执行。</x:v>
      </x:c>
      <x:c r="F11" s="48" t="str">
        <x:v>CHK-5.2-03、CHK-5.2-04、CHK-5.2-05、CHK-5.2-08、CHK-5.2-09</x:v>
      </x:c>
      <x:c r="G11" s="67" t="n">
        <x:v>0.75</x:v>
      </x:c>
      <x:c r="H11" s="48" t="str">
        <x:v>仍未做迁移审批流、迁移回滚、模板正式发布审批、修订版成果不可变归档、全量业务接口RBAC、关闭后全模块只读。</x:v>
      </x:c>
    </x:row>
  </x:sheetData>
  <x:mergeCells>
    <x:mergeCell ref="A1:H1"/>
    <x:mergeCell ref="A2:H2"/>
  </x:mergeCells>
  <x:pageMargins left="0.7" right="0.7" top="0.75" bottom="0.75" header="0.3" footer="0.3"/>
</x:worksheet>
</file>