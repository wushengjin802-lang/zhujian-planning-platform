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0585ddaab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0235d846a1244b7"/>
    <x:sheet xmlns:r="http://schemas.openxmlformats.org/officeDocument/2006/relationships" name="功能Checklist" sheetId="2" r:id="Raa36fea280684958"/>
    <x:sheet xmlns:r="http://schemas.openxmlformats.org/officeDocument/2006/relationships" name="核查字典" sheetId="3" r:id="R2cd47301bfdd4168"/>
    <x:sheet xmlns:r="http://schemas.openxmlformats.org/officeDocument/2006/relationships" name="更新记录" sheetId="4" r:id="Rcb7dec416e59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9e422692a4698" /><Relationship Type="http://schemas.openxmlformats.org/officeDocument/2006/relationships/theme" Target="/xl/theme/theme1.xml" Id="R9cc5cfab5b774842" /><Relationship Type="http://schemas.openxmlformats.org/officeDocument/2006/relationships/sharedStrings" Target="/xl/sharedStrings.xml" Id="Rf91a52c4ee5649ea" /><Relationship Type="http://schemas.openxmlformats.org/officeDocument/2006/relationships/worksheet" Target="/xl/worksheets/sheet1.xml" Id="R40235d846a1244b7" /><Relationship Type="http://schemas.openxmlformats.org/officeDocument/2006/relationships/worksheet" Target="/xl/worksheets/sheet2.xml" Id="Raa36fea280684958" /><Relationship Type="http://schemas.openxmlformats.org/officeDocument/2006/relationships/worksheet" Target="/xl/worksheets/sheet3.xml" Id="R2cd47301bfdd4168" /><Relationship Type="http://schemas.openxmlformats.org/officeDocument/2006/relationships/worksheet" Target="/xl/worksheets/sheet4.xml" Id="Rcb7dec416e5944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5a34ca5642495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5a34ca564249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029e4fda8848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3fe8414949403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0.21559006211180134</x:v>
      </x:c>
      <x:c r="C6" s="48"/>
      <x:c r="D6" s="48" t="str">
        <x:v>基本完成</x:v>
      </x:c>
      <x:c r="E6" s="48" t="n">
        <x:f>COUNTIF('功能Checklist'!F5:F165,"基本完成")</x:f>
        <x:v>13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0.25105263157894736</x:v>
      </x:c>
      <x:c r="C7" s="48"/>
      <x:c r="D7" s="48" t="str">
        <x:v>部分完成</x:v>
      </x:c>
      <x:c r="E7" s="48" t="n">
        <x:f>COUNTIF('功能Checklist'!F5:F165,"部分完成")</x:f>
        <x:v>34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35</x:v>
      </x:c>
      <x:c r="C8" s="48"/>
      <x:c r="D8" s="48" t="str">
        <x:v>少量实现</x:v>
      </x:c>
      <x:c r="E8" s="48" t="n">
        <x:f>COUNTIF('功能Checklist'!F5:F165,"少量实现")</x:f>
        <x:v>67</x:v>
      </x:c>
      <x:c r="F8" s="48"/>
      <x:c r="G8" s="48"/>
      <x:c r="H8" s="48"/>
    </x:row>
    <x:row r="9">
      <x:c r="A9" s="48" t="str">
        <x:v>2026-07-06 v1.6综合判断</x:v>
      </x:c>
      <x:c r="B9" s="67" t="n">
        <x:v>0.72</x:v>
      </x:c>
      <x:c r="C9" s="48"/>
      <x:c r="D9" s="48" t="str">
        <x:v>未完成</x:v>
      </x:c>
      <x:c r="E9" s="48" t="n">
        <x:f>COUNTIF('功能Checklist'!F5:F165,"未完成")</x:f>
        <x:v>47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72%为v1.6尽量收口剩余工作台功能后的综合判断；本轮只增强工作台SLA升级、审核会签门禁、通知中心、强制终止和卡片容错，未扩展非工作台模块。细项平均按161项等权统计，更严格且不等同于综合评审总分。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0.7575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0.2691428571428572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0.21000000000000002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0.179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0.0488888888888889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40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66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31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85029e4fda88480d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基本完成</x:v>
      </x:c>
      <x:c r="G5" s="52" t="n">
        <x:v>0.82</x:v>
      </x:c>
      <x:c r="H5" s="50" t="str">
        <x:v>v1.6在v1.5基础上补齐SLA自动升级留痕、P0/P1审核会签门禁、通知中心/订阅API、强制终止任务入口和cardErrors卡片降级信息；GET /api/dashboard 返回cardErrors、countersign、能力标记。</x:v>
      </x:c>
      <x:c r="I5" s="50" t="str">
        <x:v>完整平台级RBAC与专门领导驾驶舱仍不属于工作台页边界；当前已形成工作台聚合与协同闭环的主体能力。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46209</x:v>
      </x:c>
      <x:c r="P5" s="50" t="str">
        <x:v>2026-07-06 v1.6：尽量收口剩余工作台能力，补SLA升级、会签门禁、通知中心、强制终止和卡片降级。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基本完成</x:v>
      </x:c>
      <x:c r="G6" s="52" t="n">
        <x:v>0.82</x:v>
      </x:c>
      <x:c r="H6" s="50" t="str">
        <x:v>工作项已有持久化、领取、完成、取消、转交、意见、记录查看、SLA字段；v1.6新增SLA自动升级/催办事件与通知，逾期或即将到期事项会生成工作台事件和站内提醒。</x:v>
      </x:c>
      <x:c r="I6" s="50" t="str">
        <x:v>评论回复流、复杂流转规则、SLA升级到组织岗位仍未做；但工作台范围内的持久化、处理、转交、SLA提醒、记录已基本闭合。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46209</x:v>
      </x:c>
      <x:c r="P6" s="50" t="str">
        <x:v>2026-07-06 v1.6：工作项SLA从提示提升为自动事件/通知留痕。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基本完成</x:v>
      </x:c>
      <x:c r="G7" s="52" t="n">
        <x:v>0.84</x:v>
      </x:c>
      <x:c r="H7" s="50" t="str">
        <x:v>审核任务已有持久化、分配、意见、通过、退回、会签、记录查看；v1.6新增P0需2个会签、P1需1个会签的通过门禁，工作台展示会签进度并返回不可通过原因。</x:v>
      </x:c>
      <x:c r="I7" s="50" t="str">
        <x:v>报告正文锚点级审阅、退回分支版本、正式会签完成条件细则仍属于报告审阅模块后续；工作台审核队列闭环已基本完成。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46209</x:v>
      </x:c>
      <x:c r="P7" s="50" t="str">
        <x:v>2026-07-06 v1.6：审核会签由记录能力提升为通过门禁能力。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基本完成</x:v>
      </x:c>
      <x:c r="G8" s="52" t="n">
        <x:v>0.88</x:v>
      </x:c>
      <x:c r="H8" s="50" t="str">
        <x:v>异步任务中心已有聚合、阶段日志、取消/重试、心跳、卡住分钟数；v1.6新增强制终止参数force与前端“强制终止”按钮，强制终止请求写入任务事件。</x:v>
      </x:c>
      <x:c r="I8" s="50" t="str">
        <x:v>Worker内部每一阶段主动埋点、错误码、链路追踪、任务依赖链和幂等键仍需后续平台级任务治理。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46209</x:v>
      </x:c>
      <x:c r="P8" s="50" t="str">
        <x:v>2026-07-06 v1.6：异步任务中心补强制终止入口和事件留痕。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基本完成</x:v>
      </x:c>
      <x:c r="G9" s="52" t="n">
        <x:v>0.7</x:v>
      </x:c>
      <x:c r="H9" s="50" t="str">
        <x:v>任务取消/重试已有业务入口、状态更新、阶段日志；v1.6取消接口支持force强制终止参数，前端对疑似卡住任务展示强制终止入口。</x:v>
      </x:c>
      <x:c r="I9" s="50" t="str">
        <x:v>Celery revoke/terminate仍是best-effort；Worker安全停止点和幂等重试上限仍需Worker层继续实现。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46209</x:v>
      </x:c>
      <x:c r="P9" s="50" t="str">
        <x:v>2026-07-06 v1.6：取消/重试能力补强制终止入口，但Worker层安全停止点仍保留。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基本完成</x:v>
      </x:c>
      <x:c r="G10" s="52" t="n">
        <x:v>0.82</x:v>
      </x:c>
      <x:c r="H10" s="50" t="str">
        <x:v>通知已支持单条已读、归档、批量已读；v1.6新增通知列表API、状态/项目筛选、通知订阅偏好读取和更新，并将SLA升级/催办写入通知。</x:v>
      </x:c>
      <x:c r="I10" s="50" t="str">
        <x:v>WebSocket、短信、邮件等外部推送未实现；但工作台内通知中心和订阅偏好已基本具备。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46209</x:v>
      </x:c>
      <x:c r="P10" s="50" t="str">
        <x:v>2026-07-06 v1.6：补通知中心API和订阅偏好。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0.56</x:v>
      </x:c>
      <x:c r="H11" s="50" t="str">
        <x:v>管理视角继续展示跨项目进度、风险、任务、成果、事件、SLA提醒、健康状态和卡片降级；v1.6未扩展非工作台领导驾驶舱。</x:v>
      </x:c>
      <x:c r="I11" s="50" t="str">
        <x:v>领导专用驾驶舱、里程碑、方案比选和只读发布数据口径仍是后续模块，不在本次工作台收口范围。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46209</x:v>
      </x:c>
      <x:c r="P11" s="50" t="str">
        <x:v>2026-07-06 v1.6：继续保持工作台边界，不新增领导驾驶舱。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基本完成</x:v>
      </x:c>
      <x:c r="G12" s="52" t="n">
        <x:v>0.62</x:v>
      </x:c>
      <x:c r="H12" s="50" t="str">
        <x:v>v1.6新增_safe_scalars和cardErrors，工作台聚合对非关键卡片查询失败可记录降级信息，并通过cardHealth/cardErrors返回前端；卡住任务保留事件和分钟数。</x:v>
      </x:c>
      <x:c r="I12" s="50" t="str">
        <x:v>数据库会话级异常后的完全隔离仍受ORM事务状态约束；任务心跳主动上报和管理员终止确认仍需Worker层补充。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46209</x:v>
      </x:c>
      <x:c r="P12" s="50" t="str">
        <x:v>2026-07-06 v1.6：单卡容错从前端提示提升为后端降级信息。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0.75</x:v>
      </x:c>
      <x:c r="H13" s="50" t="str">
        <x:v>已实现项目创建、列表和部分详情/概览能力。</x:v>
      </x:c>
      <x:c r="I13" s="50" t="str">
        <x:v>字段、项目主页统计和生命周期操作仍不完整。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46206</x:v>
      </x:c>
      <x:c r="P13" s="50" t="str"/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少量实现</x:v>
      </x:c>
      <x:c r="G14" s="52" t="n">
        <x:v>0.2</x:v>
      </x:c>
      <x:c r="H14" s="50" t="str">
        <x:v>存在基础创建入口。</x:v>
      </x:c>
      <x:c r="I14" s="50" t="str">
        <x:v>缺少分步向导、草稿校验、模板/规则/密级/成员设置。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46206</x:v>
      </x:c>
      <x:c r="P14" s="50" t="str"/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少量实现</x:v>
      </x:c>
      <x:c r="G15" s="52" t="n">
        <x:v>0.1</x:v>
      </x:c>
      <x:c r="H15" s="50" t="str">
        <x:v>当前主要创建项目主表。</x:v>
      </x:c>
      <x:c r="I15" s="50" t="str">
        <x:v>新项目不能形成可直接运行的完整业务骨架。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46206</x:v>
      </x:c>
      <x:c r="P15" s="50" t="str"/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少量实现</x:v>
      </x:c>
      <x:c r="G16" s="52" t="n">
        <x:v>0.15</x:v>
      </x:c>
      <x:c r="H16" s="50" t="str">
        <x:v>有模板元数据和报告大纲文件。</x:v>
      </x:c>
      <x:c r="I16" s="50" t="str">
        <x:v>没有正式 template_version 绑定、冻结和迁移记录。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46206</x:v>
      </x:c>
      <x:c r="P16" s="50" t="str"/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少量实现</x:v>
      </x:c>
      <x:c r="G17" s="52" t="n">
        <x:v>0.05</x:v>
      </x:c>
      <x:c r="H17" s="50" t="str">
        <x:v>数据库迁移中出现 project_members 概念。</x:v>
      </x:c>
      <x:c r="I17" s="50" t="str">
        <x:v>模型/API/鉴权流程未真正使用；登录用户近似全局操作员。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46206</x:v>
      </x:c>
      <x:c r="P17" s="50" t="str"/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少量实现</x:v>
      </x:c>
      <x:c r="G18" s="52" t="n">
        <x:v>0.1</x:v>
      </x:c>
      <x:c r="H18" s="50" t="str">
        <x:v>页面存在阶段性进度提示。</x:v>
      </x:c>
      <x:c r="I18" s="50" t="str">
        <x:v>没有 milestone 实体、维护和提醒。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46206</x:v>
      </x:c>
      <x:c r="P18" s="50" t="str"/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未完成</x:v>
      </x:c>
      <x:c r="G19" s="52" t="n">
        <x:v>0</x:v>
      </x:c>
      <x:c r="H19" s="50" t="str">
        <x:v>存在少量全局环境配置。</x:v>
      </x:c>
      <x:c r="I19" s="50" t="str">
        <x:v>无项目密级、外发策略、水印及项目级配置版本。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46206</x:v>
      </x:c>
      <x:c r="P19" s="50" t="str"/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少量实现</x:v>
      </x:c>
      <x:c r="G20" s="52" t="n">
        <x:v>0.25</x:v>
      </x:c>
      <x:c r="H20" s="50" t="str">
        <x:v>项目存在基础状态字段。</x:v>
      </x:c>
      <x:c r="I20" s="50" t="str">
        <x:v>无严格状态迁移、关闭前任务/审核校验和关闭后只读控制。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46206</x:v>
      </x:c>
      <x:c r="P20" s="50" t="str"/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少量实现</x:v>
      </x:c>
      <x:c r="G21" s="52" t="n">
        <x:v>0.1</x:v>
      </x:c>
      <x:c r="H21" s="50" t="str">
        <x:v>未发现完整复制和修订流程。</x:v>
      </x:c>
      <x:c r="I21" s="50" t="str">
        <x:v>缺少复制范围控制、修订基线和变更说明。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46206</x:v>
      </x:c>
      <x:c r="P21" s="50" t="str"/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部分完成</x:v>
      </x:c>
      <x:c r="G22" s="52" t="n">
        <x:v>0.4</x:v>
      </x:c>
      <x:c r="H22" s="50" t="str">
        <x:v>项目具备编码字段。</x:v>
      </x:c>
      <x:c r="I22" s="50" t="str">
        <x:v>未确认数据库唯一约束及编号规则中心。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46206</x:v>
      </x:c>
      <x:c r="P22" s="50" t="str"/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3fe8414949403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  <x:row r="6" ht="90" customHeight="1">
      <x:c r="A6" s="54" t="n">
        <x:v>46209</x:v>
      </x:c>
      <x:c r="B6" s="50" t="str">
        <x:v>PDD 5.1 工作台边界内继续完善</x:v>
      </x:c>
      <x:c r="C6" s="50" t="str">
        <x:v>zhujian-planning-platform_v1.2_20260706</x:v>
      </x:c>
      <x:c r="D6" s="50" t="str">
        <x:v>补充工作项转交前端入口；补充工作项/审核任务行级记录查看；增加工作项和审核任务动作级权限校验；修正审核通过错误写入退回事件的问题；不新增非工作台业务模块。</x:v>
      </x:c>
      <x:c r="E6" s="50" t="str">
        <x:v>Python compileall通过；Dashboard聚合单元测试通过；前端依赖安装在当前容器不完整，typecheck/build建议在本地npm ci后执行。</x:v>
      </x:c>
      <x:c r="F6" s="50" t="str">
        <x:v>CHK-5.1-02、CHK-5.1-03、CHK-5.1-08</x:v>
      </x:c>
      <x:c r="G6" s="52" t="n">
        <x:v>0.64</x:v>
      </x:c>
      <x:c r="H6" s="50" t="str">
        <x:v>仍未做完整RBAC、工作项SLA、正式会签规则、通知订阅推送、任务心跳和Worker安全停止点。</x:v>
      </x:c>
    </x:row>
    <x:row r="7" ht="90" customHeight="1">
      <x:c r="A7" s="89" t="n">
        <x:v>46209</x:v>
      </x:c>
      <x:c r="B7" s="48" t="str">
        <x:v>PDD 5.1 工作台 v1.4 边界内完善</x:v>
      </x:c>
      <x:c r="C7" s="48" t="str">
        <x:v>zhujian-planning-platform_v1.4_20260706</x:v>
      </x:c>
      <x:c r="D7" s="48" t="str">
        <x:v>修正版本号顺延：上一版按v1.3归档，本版为v1.4；新增工作项/审核任务SLA提示、行级动作权限返回、前端按权限展示按钮、疑似卡住任务task_events留痕；未扩展非工作台业务。</x:v>
      </x:c>
      <x:c r="E7" s="48" t="str">
        <x:v>Python compileall通过；Dashboard聚合单元测试通过；前端依赖安装在当前容器超时，typecheck/build建议在本地npm ci后执行。</x:v>
      </x:c>
      <x:c r="F7" s="48" t="str">
        <x:v>CHK-5.1-01 至 CHK-5.1-08</x:v>
      </x:c>
      <x:c r="G7" s="67" t="n">
        <x:v>0.66</x:v>
      </x:c>
      <x:c r="H7" s="48" t="str">
        <x:v>仍未做完整RBAC、SLA自动升级、正式会签规则、通知订阅推送、Worker安全停止点、单卡后端隔离失败。</x:v>
      </x:c>
    </x:row>
    <x:row r="8" ht="90" customHeight="1">
      <x:c r="A8" s="89" t="n">
        <x:v>46209</x:v>
      </x:c>
      <x:c r="B8" s="48" t="str">
        <x:v>PDD 5.1 工作台 v1.5 边界内完善</x:v>
      </x:c>
      <x:c r="C8" s="48" t="str">
        <x:v>zhujian-planning-platform_v1.5_20260706</x:v>
      </x:c>
      <x:c r="D8" s="48" t="str">
        <x:v>新增SLA提醒持久化、SLA详细字段、行级动作原因、任务心跳、疑似卡住分钟数、工作台健康状态cardHealth和SLA摘要slaSummary；未新增非工作台业务模块。</x:v>
      </x:c>
      <x:c r="E8" s="48" t="str">
        <x:v>Python compileall通过；Dashboard聚合单元测试通过；Checklist公式扫描通过；前端依赖安装在当前容器不可用，typecheck/build建议本地npm ci后执行。</x:v>
      </x:c>
      <x:c r="F8" s="48" t="str">
        <x:v>CHK-5.1-01 至 CHK-5.1-08</x:v>
      </x:c>
      <x:c r="G8" s="67" t="n">
        <x:v>0.68</x:v>
      </x:c>
      <x:c r="H8" s="48" t="str">
        <x:v>仍未做完整RBAC、SLA自动升级、正式会签规则、通知推送、Worker安全停止点、后端单卡完全隔离执行。</x:v>
      </x:c>
    </x:row>
    <x:row r="9" ht="90" customHeight="1">
      <x:c r="A9" s="89" t="n">
        <x:v>46209</x:v>
      </x:c>
      <x:c r="B9" s="48" t="str">
        <x:v>PDD 5.1 工作台 v1.6 剩余功能收口</x:v>
      </x:c>
      <x:c r="C9" s="48" t="str">
        <x:v>zhujian-planning-platform_v1.6_20260706</x:v>
      </x:c>
      <x:c r="D9" s="48" t="str">
        <x:v>新增SLA自动升级/催办事件与通知、P0/P1审核会签门禁、通知中心/订阅API、任务force强制终止入口、cardErrors后端卡片降级信息；不新增非工作台业务模块。</x:v>
      </x:c>
      <x:c r="E9" s="48" t="str">
        <x:v>Python compileall通过；Dashboard聚合单元测试通过；Checklist公式扫描通过；前端typecheck/build建议在本地npm ci后执行。</x:v>
      </x:c>
      <x:c r="F9" s="48" t="str">
        <x:v>CHK-5.1-01 至 CHK-5.1-08</x:v>
      </x:c>
      <x:c r="G9" s="67" t="n">
        <x:v>0.72</x:v>
      </x:c>
      <x:c r="H9" s="48" t="str">
        <x:v>仍保留完整平台级RBAC、外部推送、Worker内部安全停止点、报告正文锚点审阅和领导专用驾驶舱。</x:v>
      </x:c>
    </x:row>
  </x:sheetData>
  <x:mergeCells>
    <x:mergeCell ref="A1:H1"/>
    <x:mergeCell ref="A2:H2"/>
  </x:mergeCells>
  <x:pageMargins left="0.7" right="0.7" top="0.75" bottom="0.75" header="0.3" footer="0.3"/>
</x:worksheet>
</file>