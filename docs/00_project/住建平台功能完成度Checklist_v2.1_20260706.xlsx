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502f87b46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d8da12c08094916"/>
    <x:sheet xmlns:r="http://schemas.openxmlformats.org/officeDocument/2006/relationships" name="功能Checklist" sheetId="2" r:id="R76f3ed21b88440d3"/>
    <x:sheet xmlns:r="http://schemas.openxmlformats.org/officeDocument/2006/relationships" name="核查字典" sheetId="3" r:id="R884be452df714b01"/>
    <x:sheet xmlns:r="http://schemas.openxmlformats.org/officeDocument/2006/relationships" name="更新记录" sheetId="4" r:id="Rcaf54683385b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17df4a7664a28" /><Relationship Type="http://schemas.openxmlformats.org/officeDocument/2006/relationships/theme" Target="/xl/theme/theme1.xml" Id="R5c02c856a53b4a30" /><Relationship Type="http://schemas.openxmlformats.org/officeDocument/2006/relationships/sharedStrings" Target="/xl/sharedStrings.xml" Id="R3c268afe709f427c" /><Relationship Type="http://schemas.openxmlformats.org/officeDocument/2006/relationships/worksheet" Target="/xl/worksheets/sheet1.xml" Id="R4d8da12c08094916" /><Relationship Type="http://schemas.openxmlformats.org/officeDocument/2006/relationships/worksheet" Target="/xl/worksheets/sheet2.xml" Id="R76f3ed21b88440d3" /><Relationship Type="http://schemas.openxmlformats.org/officeDocument/2006/relationships/worksheet" Target="/xl/worksheets/sheet3.xml" Id="R884be452df714b01" /><Relationship Type="http://schemas.openxmlformats.org/officeDocument/2006/relationships/worksheet" Target="/xl/worksheets/sheet4.xml" Id="Rcaf54683385b4d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f9ba0495f64af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9ba0495f64a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83a6fb321f45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90c4751a85433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0.24322981366459634</x:v>
      </x:c>
      <x:c r="C6" s="48"/>
      <x:c r="D6" s="48" t="str">
        <x:v>基本完成</x:v>
      </x:c>
      <x:c r="E6" s="48" t="n">
        <x:f>COUNTIF('功能Checklist'!F5:F165,"基本完成")</x:f>
        <x:v>18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0.28150375939849626</x:v>
      </x:c>
      <x:c r="C7" s="48"/>
      <x:c r="D7" s="48" t="str">
        <x:v>部分完成</x:v>
      </x:c>
      <x:c r="E7" s="48" t="n">
        <x:f>COUNTIF('功能Checklist'!F5:F165,"部分完成")</x:f>
        <x:v>37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33</x:v>
      </x:c>
      <x:c r="C8" s="48"/>
      <x:c r="D8" s="48" t="str">
        <x:v>少量实现</x:v>
      </x:c>
      <x:c r="E8" s="48" t="n">
        <x:f>COUNTIF('功能Checklist'!F5:F165,"少量实现")</x:f>
        <x:v>60</x:v>
      </x:c>
      <x:c r="F8" s="48"/>
      <x:c r="G8" s="48"/>
      <x:c r="H8" s="48"/>
    </x:row>
    <x:row r="9">
      <x:c r="A9" s="48" t="str">
        <x:v>2026-07-06 v2.1综合判断</x:v>
      </x:c>
      <x:c r="B9" s="67" t="n">
        <x:v>0.72</x:v>
      </x:c>
      <x:c r="C9" s="48"/>
      <x:c r="D9" s="48" t="str">
        <x:v>未完成</x:v>
      </x:c>
      <x:c r="E9" s="48" t="n">
        <x:f>COUNTIF('功能Checklist'!F5:F165,"未完成")</x:f>
        <x:v>46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72%为v2.1项目中心继续完善后的综合判断；本轮只增强PDD 5.2项目中心的初始化包、资料清单和关闭/归档门禁，未扩展非项目中心模块。细项平均按161项等权统计，更严格且不等同于综合评审总分。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0.29866666666666675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0.655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0.2265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0.06370370370370372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39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65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29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d983a6fb321f45a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0.85</x:v>
      </x:c>
      <x:c r="H13" s="50" t="str">
        <x:v>v2.0新增项目中心聚合API和项目详情API；前端项目台账支持搜索、状态/风险筛选、详情抽屉、统计指标和初始化状态；项目基本信息可编辑。</x:v>
      </x:c>
      <x:c r="I13" s="50" t="str">
        <x:v>项目主页已可用于管理，但专业项目主页组件、复杂视图布局和全量权限贯通仍待完善。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46209</x:v>
      </x:c>
      <x:c r="P13" s="50" t="str">
        <x:v>2026-07-06 v2.0：项目中心从简单卡片升级为台账+详情抽屉。</x:v>
      </x:c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部分完成</x:v>
      </x:c>
      <x:c r="G14" s="52" t="n">
        <x:v>0.65</x:v>
      </x:c>
      <x:c r="H14" s="50" t="str">
        <x:v>v2.0新增三步建档向导：基本信息、模板与密级、成员与里程碑；创建后自动写入成员和默认里程碑。</x:v>
      </x:c>
      <x:c r="I14" s="50" t="str">
        <x:v>向导草稿保存、地区规则、资料清单规则绑定和强校验仍未实现。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46209</x:v>
      </x:c>
      <x:c r="P14" s="50" t="str">
        <x:v>2026-07-06 v2.0：新增项目建档向导。</x:v>
      </x:c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基本完成</x:v>
      </x:c>
      <x:c r="G15" s="52" t="n">
        <x:v>0.75</x:v>
      </x:c>
      <x:c r="H15" s="50" t="str">
        <x:v>v2.1创建/复制项目时自动生成初始化包：资料清单、事实框架、章节目录、成果项计划、初始化记录；项目详情可手动补齐初始化包。</x:v>
      </x:c>
      <x:c r="I15" s="50" t="str">
        <x:v>初始化包已能形成业务骨架，但尚未支持模板驱动差异化初始化、地区规则绑定和初始化包版本迁移。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46209</x:v>
      </x:c>
      <x:c r="P15" s="50" t="str">
        <x:v>2026-07-06 v2.1：项目初始化从成员/里程碑扩展为资料清单+事实框架+章节目录+成果项+记录。</x:v>
      </x:c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基本完成</x:v>
      </x:c>
      <x:c r="G16" s="52" t="n">
        <x:v>0.62</x:v>
      </x:c>
      <x:c r="H16" s="50" t="str">
        <x:v>v2.1项目详情展示初始化包版本和初始化检查项；项目创建时记录template_id/template_version，并把章节目录与成果项按默认报告骨架预置。</x:v>
      </x:c>
      <x:c r="I16" s="50" t="str">
        <x:v>模板仍不是完全不可变绑定；切换模板前差异影响分析和迁移记录未完成。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46209</x:v>
      </x:c>
      <x:c r="P16" s="50" t="str">
        <x:v>2026-07-06 v2.1：初始化包开始使用模板版本作为项目骨架依据。</x:v>
      </x:c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部分完成</x:v>
      </x:c>
      <x:c r="G17" s="52" t="n">
        <x:v>0.5</x:v>
      </x:c>
      <x:c r="H17" s="50" t="str">
        <x:v>项目成员维护和项目可见性保持v2.0能力；v2.1关闭/归档门禁会基于项目数据进行前置判断。</x:v>
      </x:c>
      <x:c r="I17" s="50" t="str">
        <x:v>成员权限尚未贯穿全部业务接口；项目角色细粒度授权、有效期和负责人唯一性强约束未完成。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46209</x:v>
      </x:c>
      <x:c r="P17" s="50" t="str">
        <x:v>2026-07-06 v2.1：本轮未扩展全量业务接口RBAC。</x:v>
      </x:c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基本完成</x:v>
      </x:c>
      <x:c r="G18" s="52" t="n">
        <x:v>0.7</x:v>
      </x:c>
      <x:c r="H18" s="50" t="str">
        <x:v>新增project_milestones表与前端维护页面，支持新增、编辑名称/负责人/状态/计划日期和完成时间。</x:v>
      </x:c>
      <x:c r="I18" s="50" t="str">
        <x:v>逾期自动计算、工作台联动提醒、里程碑依赖关系和审批关闭未完成。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46209</x:v>
      </x:c>
      <x:c r="P18" s="50" t="str">
        <x:v>2026-07-06 v2.0：项目里程碑实体和维护页面完成。</x:v>
      </x:c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部分完成</x:v>
      </x:c>
      <x:c r="G19" s="52" t="n">
        <x:v>0.45</x:v>
      </x:c>
      <x:c r="H19" s="50" t="str">
        <x:v>v2.1项目初始化包增加资料清单，项目详情可维护资料清单状态；密级字段仍可在向导和详情页维护。</x:v>
      </x:c>
      <x:c r="I19" s="50" t="str">
        <x:v>密级仍未影响下载、检索、模型外发、水印和降密审批。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46209</x:v>
      </x:c>
      <x:c r="P19" s="50" t="str">
        <x:v>2026-07-06 v2.1：项目设置补入资料清单，但密级治理仍未完成。</x:v>
      </x:c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基本完成</x:v>
      </x:c>
      <x:c r="G20" s="52" t="n">
        <x:v>0.78</x:v>
      </x:c>
      <x:c r="H20" s="50" t="str">
        <x:v>v2.1新增GET /api/projects/{id}/status-gate，关闭/归档操作执行门禁：初始化完整性、严重/阻断问题、运行任务、章节审核、成果生成等不达标时阻断；前端展示关闭/归档门禁卡片与阻断原因。</x:v>
      </x:c>
      <x:c r="I20" s="50" t="str">
        <x:v>关闭后全模块只读、正式审签确认和跨模块写入拦截仍未完成；归档门禁已有但归档包不可变版本仍属于成果输出模块。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46209</x:v>
      </x:c>
      <x:c r="P20" s="50" t="str">
        <x:v>2026-07-06 v2.1：关闭/归档前置门禁落地并接入前端。</x:v>
      </x:c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部分完成</x:v>
      </x:c>
      <x:c r="G21" s="52" t="n">
        <x:v>0.5</x:v>
      </x:c>
      <x:c r="H21" s="50" t="str">
        <x:v>复制项目时会生成新的初始化包并保留可选的成员、里程碑、模板与密级。</x:v>
      </x:c>
      <x:c r="I21" s="50" t="str">
        <x:v>修订链、已发布成果修订、复制资料/事实/章节范围选择尚未实现。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46209</x:v>
      </x:c>
      <x:c r="P21" s="50" t="str">
        <x:v>2026-07-06 v2.1：复制项目后自动补齐初始化包。</x:v>
      </x:c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基本完成</x:v>
      </x:c>
      <x:c r="G22" s="52" t="n">
        <x:v>0.75</x:v>
      </x:c>
      <x:c r="H22" s="50" t="str">
        <x:v>新增projects.code字段、唯一索引ux_projects_code和自动编号生成逻辑，创建/复制项目时生成ZJ-YYYY-####编号。</x:v>
      </x:c>
      <x:c r="I22" s="50" t="str">
        <x:v>编号规则还不是配置化规则中心，并发冲突重试和多机构编号前缀未实现。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46209</x:v>
      </x:c>
      <x:c r="P22" s="50" t="str">
        <x:v>2026-07-06 v2.0：项目编号字段、唯一索引和自动生成完成。</x:v>
      </x:c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90c4751a8543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5.2 项目中心 v2.0 起始版本</x:v>
      </x:c>
      <x:c r="C9" s="48" t="str">
        <x:v>zhujian-planning-platform_v2.0_20260706</x:v>
      </x:c>
      <x:c r="D9" s="48" t="str">
        <x:v>从工作台转入项目中心开发；新增项目中心聚合API、项目详情、建档向导、成员维护、里程碑维护、模板版本/密级、状态流转、项目复制和项目编号唯一性；未扩展非项目中心业务。</x:v>
      </x:c>
      <x:c r="E9" s="48" t="str">
        <x:v>Python compileall通过；ProjectCenter单元测试通过；Dashboard回归测试通过；前端依赖未安装，typecheck/build建议本地npm ci后执行。</x:v>
      </x:c>
      <x:c r="F9" s="48" t="str">
        <x:v>CHK-5.2-01 至 CHK-5.2-10</x:v>
      </x:c>
      <x:c r="G9" s="67" t="n">
        <x:v>0.7</x:v>
      </x:c>
      <x:c r="H9" s="48" t="str">
        <x:v>仍需完成向导草稿、完整初始化包、成员权限全接口贯通、密级治理、关闭/归档门禁、修订链和编号规则中心。</x:v>
      </x:c>
    </x:row>
    <x:row r="10" ht="90" customHeight="1">
      <x:c r="A10" s="89" t="n">
        <x:v>46209</x:v>
      </x:c>
      <x:c r="B10" s="48" t="str">
        <x:v>PDD 5.2 项目中心 v2.1</x:v>
      </x:c>
      <x:c r="C10" s="48" t="str">
        <x:v>zhujian-planning-platform_v2.1_20260706</x:v>
      </x:c>
      <x:c r="D10" s="48" t="str">
        <x:v>新增项目初始化包、资料清单、事实框架、章节目录、成果项计划、初始化记录；创建/复制项目自动补齐初始化包；新增资料清单状态维护；新增关闭/归档状态门禁和前端门禁提示。</x:v>
      </x:c>
      <x:c r="E10" s="48" t="str">
        <x:v>Python compileall通过；ProjectCenter单元测试通过；Dashboard回归测试通过；Checklist公式扫描通过；当前容器缺少vue-tsc，前端typecheck/build建议本地npm ci后执行。</x:v>
      </x:c>
      <x:c r="F10" s="48" t="str">
        <x:v>CHK-5.2-03、CHK-5.2-04、CHK-5.2-07、CHK-5.2-08、CHK-5.2-09</x:v>
      </x:c>
      <x:c r="G10" s="67" t="n">
        <x:v>0.72</x:v>
      </x:c>
      <x:c r="H10" s="48" t="str">
        <x:v>仍未做模板驱动差异化初始化、向导草稿、地区规则、全量业务接口RBAC、关闭后全模块只读、项目修订链。</x:v>
      </x:c>
    </x:row>
  </x:sheetData>
  <x:mergeCells>
    <x:mergeCell ref="A1:H1"/>
    <x:mergeCell ref="A2:H2"/>
  </x:mergeCells>
  <x:pageMargins left="0.7" right="0.7" top="0.75" bottom="0.75" header="0.3" footer="0.3"/>
</x:worksheet>
</file>