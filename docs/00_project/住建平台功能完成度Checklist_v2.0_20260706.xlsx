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1c76091df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189743b3c8d4bd9"/>
    <x:sheet xmlns:r="http://schemas.openxmlformats.org/officeDocument/2006/relationships" name="功能Checklist" sheetId="2" r:id="R935adf0304424386"/>
    <x:sheet xmlns:r="http://schemas.openxmlformats.org/officeDocument/2006/relationships" name="核查字典" sheetId="3" r:id="R4953cd96a2094619"/>
    <x:sheet xmlns:r="http://schemas.openxmlformats.org/officeDocument/2006/relationships" name="更新记录" sheetId="4" r:id="R655ab3c3253e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82e0d81b64fb9" /><Relationship Type="http://schemas.openxmlformats.org/officeDocument/2006/relationships/theme" Target="/xl/theme/theme1.xml" Id="Ra87a91ed62f94209" /><Relationship Type="http://schemas.openxmlformats.org/officeDocument/2006/relationships/sharedStrings" Target="/xl/sharedStrings.xml" Id="R227941d2682142bf" /><Relationship Type="http://schemas.openxmlformats.org/officeDocument/2006/relationships/worksheet" Target="/xl/worksheets/sheet1.xml" Id="Re189743b3c8d4bd9" /><Relationship Type="http://schemas.openxmlformats.org/officeDocument/2006/relationships/worksheet" Target="/xl/worksheets/sheet2.xml" Id="R935adf0304424386" /><Relationship Type="http://schemas.openxmlformats.org/officeDocument/2006/relationships/worksheet" Target="/xl/worksheets/sheet3.xml" Id="R4953cd96a2094619" /><Relationship Type="http://schemas.openxmlformats.org/officeDocument/2006/relationships/worksheet" Target="/xl/worksheets/sheet4.xml" Id="R655ab3c3253e42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9d3f13131d4df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9d3f13131d4d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5aaca6cba449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2124db5fa64c2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0.23888198757763984</x:v>
      </x:c>
      <x:c r="C6" s="48"/>
      <x:c r="D6" s="48" t="str">
        <x:v>基本完成</x:v>
      </x:c>
      <x:c r="E6" s="48" t="n">
        <x:f>COUNTIF('功能Checklist'!F5:F165,"基本完成")</x:f>
        <x:v>15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0.2766165413533835</x:v>
      </x:c>
      <x:c r="C7" s="48"/>
      <x:c r="D7" s="48" t="str">
        <x:v>部分完成</x:v>
      </x:c>
      <x:c r="E7" s="48" t="n">
        <x:f>COUNTIF('功能Checklist'!F5:F165,"部分完成")</x:f>
        <x:v>40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33</x:v>
      </x:c>
      <x:c r="C8" s="48"/>
      <x:c r="D8" s="48" t="str">
        <x:v>少量实现</x:v>
      </x:c>
      <x:c r="E8" s="48" t="n">
        <x:f>COUNTIF('功能Checklist'!F5:F165,"少量实现")</x:f>
        <x:v>60</x:v>
      </x:c>
      <x:c r="F8" s="48"/>
      <x:c r="G8" s="48"/>
      <x:c r="H8" s="48"/>
    </x:row>
    <x:row r="9">
      <x:c r="A9" s="48" t="str">
        <x:v>2026-07-06 v2.0综合判断</x:v>
      </x:c>
      <x:c r="B9" s="67" t="n">
        <x:v>0.7</x:v>
      </x:c>
      <x:c r="C9" s="48"/>
      <x:c r="D9" s="48" t="str">
        <x:v>未完成</x:v>
      </x:c>
      <x:c r="E9" s="48" t="n">
        <x:f>COUNTIF('功能Checklist'!F5:F165,"未完成")</x:f>
        <x:v>46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70%为v2.0切换到项目中心开发后的综合判断；本轮只增强PDD 5.2项目中心页面与必要API，未扩展报告、GIS、投资、方案比选或工作台新能力。细项平均按161项等权统计，更严格且不等同于综合评审总分。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0.29247619047619056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0.5850000000000001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0.2265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0.061851851851851866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66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29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3f5aaca6cba44902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0.85</x:v>
      </x:c>
      <x:c r="H13" s="50" t="str">
        <x:v>v2.0新增项目中心聚合API和项目详情API；前端项目台账支持搜索、状态/风险筛选、详情抽屉、统计指标和初始化状态；项目基本信息可编辑。</x:v>
      </x:c>
      <x:c r="I13" s="50" t="str">
        <x:v>项目主页已可用于管理，但专业项目主页组件、复杂视图布局和全量权限贯通仍待完善。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46209</x:v>
      </x:c>
      <x:c r="P13" s="50" t="str">
        <x:v>2026-07-06 v2.0：项目中心从简单卡片升级为台账+详情抽屉。</x:v>
      </x:c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部分完成</x:v>
      </x:c>
      <x:c r="G14" s="52" t="n">
        <x:v>0.65</x:v>
      </x:c>
      <x:c r="H14" s="50" t="str">
        <x:v>v2.0新增三步建档向导：基本信息、模板与密级、成员与里程碑；创建后自动写入成员和默认里程碑。</x:v>
      </x:c>
      <x:c r="I14" s="50" t="str">
        <x:v>向导草稿保存、地区规则、资料清单规则绑定和强校验仍未实现。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46209</x:v>
      </x:c>
      <x:c r="P14" s="50" t="str">
        <x:v>2026-07-06 v2.0：新增项目建档向导。</x:v>
      </x:c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部分完成</x:v>
      </x:c>
      <x:c r="G15" s="52" t="n">
        <x:v>0.45</x:v>
      </x:c>
      <x:c r="H15" s="50" t="str">
        <x:v>新建项目后自动生成项目编号、项目负责人、默认里程碑、模板版本和密级配置。</x:v>
      </x:c>
      <x:c r="I15" s="50" t="str">
        <x:v>尚未自动初始化事实框架、资料清单、章节目录和成果项，因此还不是完整项目初始化包。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46209</x:v>
      </x:c>
      <x:c r="P15" s="50" t="str">
        <x:v>2026-07-06 v2.0：补项目成员与默认里程碑初始化。</x:v>
      </x:c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部分完成</x:v>
      </x:c>
      <x:c r="G16" s="52" t="n">
        <x:v>0.55</x:v>
      </x:c>
      <x:c r="H16" s="50" t="str">
        <x:v>projects新增template_id/template_version，建档和详情页可选择模板并保存模板版本；项目复制可选择复制模板设置。</x:v>
      </x:c>
      <x:c r="I16" s="50" t="str">
        <x:v>模板不可变绑定、升级差异、迁移记录和模板发布审批仍未完成。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46209</x:v>
      </x:c>
      <x:c r="P16" s="50" t="str">
        <x:v>2026-07-06 v2.0：项目级模板版本绑定落表并可维护。</x:v>
      </x:c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部分完成</x:v>
      </x:c>
      <x:c r="G17" s="52" t="n">
        <x:v>0.45</x:v>
      </x:c>
      <x:c r="H17" s="50" t="str">
        <x:v>项目成员表接入项目中心，支持添加/更新/移除成员；非管理用户可基于project_members做可见项目过滤。</x:v>
      </x:c>
      <x:c r="I17" s="50" t="str">
        <x:v>成员权限尚未贯穿全部业务接口，缺少成员有效期、数据范围、项目角色细粒度授权和负责人唯一性强约束。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46209</x:v>
      </x:c>
      <x:c r="P17" s="50" t="str">
        <x:v>2026-07-06 v2.0：成员维护与项目可见性初步落地。</x:v>
      </x:c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基本完成</x:v>
      </x:c>
      <x:c r="G18" s="52" t="n">
        <x:v>0.7</x:v>
      </x:c>
      <x:c r="H18" s="50" t="str">
        <x:v>新增project_milestones表与前端维护页面，支持新增、编辑名称/负责人/状态/计划日期和完成时间。</x:v>
      </x:c>
      <x:c r="I18" s="50" t="str">
        <x:v>逾期自动计算、工作台联动提醒、里程碑依赖关系和审批关闭未完成。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46209</x:v>
      </x:c>
      <x:c r="P18" s="50" t="str">
        <x:v>2026-07-06 v2.0：项目里程碑实体和维护页面完成。</x:v>
      </x:c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部分完成</x:v>
      </x:c>
      <x:c r="G19" s="52" t="n">
        <x:v>0.4</x:v>
      </x:c>
      <x:c r="H19" s="50" t="str">
        <x:v>项目新增confidentiality字段，建档向导和详情页可维护密级；项目复制可选择复制密级。</x:v>
      </x:c>
      <x:c r="I19" s="50" t="str">
        <x:v>密级尚未影响下载、检索、模型外发、水印和降密审批。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46209</x:v>
      </x:c>
      <x:c r="P19" s="50" t="str">
        <x:v>2026-07-06 v2.0：项目密级字段和页面维护落地。</x:v>
      </x:c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部分完成</x:v>
      </x:c>
      <x:c r="G20" s="52" t="n">
        <x:v>0.6</x:v>
      </x:c>
      <x:c r="H20" s="50" t="str">
        <x:v>项目新增status，支持建档中、进行中、已关闭、已归档；提供状态流转接口并限制非法跳转；前端提供关闭、归档、重新打开操作。</x:v>
      </x:c>
      <x:c r="I20" s="50" t="str">
        <x:v>关闭/归档前置门禁、关闭后全模块只读、运行任务检查和审签确认仍未完成。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46209</x:v>
      </x:c>
      <x:c r="P20" s="50" t="str">
        <x:v>2026-07-06 v2.0：基础状态流转闭环完成。</x:v>
      </x:c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部分完成</x:v>
      </x:c>
      <x:c r="G21" s="52" t="n">
        <x:v>0.45</x:v>
      </x:c>
      <x:c r="H21" s="50" t="str">
        <x:v>新增项目复制接口和前端复制对话框，可选择复制成员、里程碑、模板和密级，生成新项目编号。</x:v>
      </x:c>
      <x:c r="I21" s="50" t="str">
        <x:v>修订链、已发布成果版本修订、复制资料/事实/章节范围选择尚未实现。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46209</x:v>
      </x:c>
      <x:c r="P21" s="50" t="str">
        <x:v>2026-07-06 v2.0：项目复制配置项初步完成。</x:v>
      </x:c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基本完成</x:v>
      </x:c>
      <x:c r="G22" s="52" t="n">
        <x:v>0.75</x:v>
      </x:c>
      <x:c r="H22" s="50" t="str">
        <x:v>新增projects.code字段、唯一索引ux_projects_code和自动编号生成逻辑，创建/复制项目时生成ZJ-YYYY-####编号。</x:v>
      </x:c>
      <x:c r="I22" s="50" t="str">
        <x:v>编号规则还不是配置化规则中心，并发冲突重试和多机构编号前缀未实现。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46209</x:v>
      </x:c>
      <x:c r="P22" s="50" t="str">
        <x:v>2026-07-06 v2.0：项目编号字段、唯一索引和自动生成完成。</x:v>
      </x:c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2124db5fa64c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5.2 项目中心 v2.0 起始版本</x:v>
      </x:c>
      <x:c r="C9" s="48" t="str">
        <x:v>zhujian-planning-platform_v2.0_20260706</x:v>
      </x:c>
      <x:c r="D9" s="48" t="str">
        <x:v>从工作台转入项目中心开发；新增项目中心聚合API、项目详情、建档向导、成员维护、里程碑维护、模板版本/密级、状态流转、项目复制和项目编号唯一性；未扩展非项目中心业务。</x:v>
      </x:c>
      <x:c r="E9" s="48" t="str">
        <x:v>Python compileall通过；ProjectCenter单元测试通过；Dashboard回归测试通过；前端依赖未安装，typecheck/build建议本地npm ci后执行。</x:v>
      </x:c>
      <x:c r="F9" s="48" t="str">
        <x:v>CHK-5.2-01 至 CHK-5.2-10</x:v>
      </x:c>
      <x:c r="G9" s="67" t="n">
        <x:v>0.7</x:v>
      </x:c>
      <x:c r="H9" s="48" t="str">
        <x:v>仍需完成向导草稿、完整初始化包、成员权限全接口贯通、密级治理、关闭/归档门禁、修订链和编号规则中心。</x:v>
      </x:c>
    </x:row>
  </x:sheetData>
  <x:mergeCells>
    <x:mergeCell ref="A1:H1"/>
    <x:mergeCell ref="A2:H2"/>
  </x:mergeCells>
  <x:pageMargins left="0.7" right="0.7" top="0.75" bottom="0.75" header="0.3" footer="0.3"/>
</x:worksheet>
</file>