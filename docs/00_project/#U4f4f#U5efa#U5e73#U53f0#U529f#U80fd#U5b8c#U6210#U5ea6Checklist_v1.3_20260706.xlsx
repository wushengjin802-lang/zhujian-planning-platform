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7e6846b2cd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b4408def08942e5"/>
    <x:sheet xmlns:r="http://schemas.openxmlformats.org/officeDocument/2006/relationships" name="功能Checklist" sheetId="2" r:id="Rec00d687e25c4523"/>
    <x:sheet xmlns:r="http://schemas.openxmlformats.org/officeDocument/2006/relationships" name="核查字典" sheetId="3" r:id="R3ad44e0dac8b4487"/>
    <x:sheet xmlns:r="http://schemas.openxmlformats.org/officeDocument/2006/relationships" name="更新记录" sheetId="4" r:id="R792a66d831ec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80611428341cf" /><Relationship Type="http://schemas.openxmlformats.org/officeDocument/2006/relationships/theme" Target="/xl/theme/theme1.xml" Id="R20c6a3caa4f04755" /><Relationship Type="http://schemas.openxmlformats.org/officeDocument/2006/relationships/sharedStrings" Target="/xl/sharedStrings.xml" Id="Re649ce6279904c74" /><Relationship Type="http://schemas.openxmlformats.org/officeDocument/2006/relationships/worksheet" Target="/xl/worksheets/sheet1.xml" Id="R8b4408def08942e5" /><Relationship Type="http://schemas.openxmlformats.org/officeDocument/2006/relationships/worksheet" Target="/xl/worksheets/sheet2.xml" Id="Rec00d687e25c4523" /><Relationship Type="http://schemas.openxmlformats.org/officeDocument/2006/relationships/worksheet" Target="/xl/worksheets/sheet3.xml" Id="R3ad44e0dac8b4487" /><Relationship Type="http://schemas.openxmlformats.org/officeDocument/2006/relationships/worksheet" Target="/xl/worksheets/sheet4.xml" Id="R792a66d831ec49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969025893543e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969025893543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2b4b8c31f4846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00dda619324cc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0.20658385093167708</x:v>
      </x:c>
      <x:c r="C6" s="48"/>
      <x:c r="D6" s="48" t="str">
        <x:v>基本完成</x:v>
      </x:c>
      <x:c r="E6" s="48" t="n">
        <x:f>COUNTIF('功能Checklist'!F5:F165,"基本完成")</x:f>
        <x:v>9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0.2436842105263158</x:v>
      </x:c>
      <x:c r="C7" s="48"/>
      <x:c r="D7" s="48" t="str">
        <x:v>部分完成</x:v>
      </x:c>
      <x:c r="E7" s="48" t="n">
        <x:f>COUNTIF('功能Checklist'!F5:F165,"部分完成")</x:f>
        <x:v>37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35</x:v>
      </x:c>
      <x:c r="C8" s="48"/>
      <x:c r="D8" s="48" t="str">
        <x:v>少量实现</x:v>
      </x:c>
      <x:c r="E8" s="48" t="n">
        <x:f>COUNTIF('功能Checklist'!F5:F165,"少量实现")</x:f>
        <x:v>68</x:v>
      </x:c>
      <x:c r="F8" s="48"/>
      <x:c r="G8" s="48"/>
      <x:c r="H8" s="48"/>
    </x:row>
    <x:row r="9">
      <x:c r="A9" s="48" t="str">
        <x:v>2026-07-03复评综合判断</x:v>
      </x:c>
      <x:c r="B9" s="67" t="n">
        <x:v>0.64</x:v>
      </x:c>
      <x:c r="C9" s="48"/>
      <x:c r="D9" s="48" t="str">
        <x:v>未完成</x:v>
      </x:c>
      <x:c r="E9" s="48" t="n">
        <x:f>COUNTIF('功能Checklist'!F5:F165,"未完成")</x:f>
        <x:v>47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64%为v1.2工作台边界内继续完善后的综合判断；细项平均按161项等权统计，更严格且不等同于综合评审总分。文件名已按版本号和日期更新为：住建平台功能完成度Checklist_v1.2_20260706.xlsx。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0.5762500000000002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0.2620952380952381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0.21000000000000002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0.16699999999999998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0.03148148148148148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40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69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32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92b4b8c31f484674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0.72</x:v>
      </x:c>
      <x:c r="H5" s="50" t="str">
        <x:v>v1.2新增工作台事件流、任务阶段日志、通知批量处理；GET /api/dashboard 返回 latestEvents/taskEvents/capabilities；前端支持审计/事件切换、任务阶段日志展开。</x:v>
      </x:c>
      <x:c r="I5" s="50" t="str">
        <x:v>仍未完成严格全量RBAC与项目成员级过滤在所有业务接口的贯通；领导驾驶舱仍是工作台视角扩展。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v1.2：工作台聚合从展示型升级为可协同处理型，新增事件流和任务日志。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部分完成</x:v>
      </x:c>
      <x:c r="G6" s="52" t="n">
        <x:v>0.65</x:v>
      </x:c>
      <x:c r="H6" s="50" t="str">
        <x:v>在持久化工作项基础上，补充工作台前端转交入口、工作项处理记录查看、领取/完成/取消/转交动作级权限校验；工作项记录可查看领取、完成、转交、取消、意见事件。</x:v>
      </x:c>
      <x:c r="I6" s="50" t="str">
        <x:v>仍未实现工作项评论回复流、截止时间提醒、工作项SLA和复杂流转规则；完整RBAC仍属于平台级后续治理。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v1.2边界内完善：补转交入口、处理记录查看和动作权限边界。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部分完成</x:v>
      </x:c>
      <x:c r="G7" s="52" t="n">
        <x:v>0.65</x:v>
      </x:c>
      <x:c r="H7" s="50" t="str">
        <x:v>审核队列已支持分配、意见、通过、退回、会签和审核记录查看；通过/退回/分配增加动作级权限校验，并修正通过动作错误写入退回事件的问题。</x:v>
      </x:c>
      <x:c r="I7" s="50" t="str">
        <x:v>仍未实现正式会签规则、退回分支版本、截止时间、审核SLA和报告正文锚点级审阅；这些属于报告审阅闭环，不在本次工作台边界内扩展。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v1.2边界内完善：补审核记录查看、动作权限边界和事件留痕修正。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0.75</x:v>
      </x:c>
      <x:c r="H8" s="50" t="str">
        <x:v>v1.2新增task_events阶段日志；解析、质量检查、成果导出在提交、取消、重试时写入日志；前端任务中心可展开查看阶段记录。</x:v>
      </x:c>
      <x:c r="I8" s="50" t="str">
        <x:v>Worker内部尚未在每个执行阶段自动写日志；错误码体系和链路追踪仍需完善。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v1.2：异步任务中心补充阶段日志。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部分完成</x:v>
      </x:c>
      <x:c r="G9" s="52" t="n">
        <x:v>0.55</x:v>
      </x:c>
      <x:c r="H9" s="50" t="str">
        <x:v>v1.2取消任务时尝试Celery revoke，并登记业务侧取消状态和task_events；重试会生成新任务/重新提交并记录retryOf。</x:v>
      </x:c>
      <x:c r="I9" s="50" t="str">
        <x:v>Celery revoke为best-effort；Worker安全停止点、强制终止、幂等键和重试次数上限仍需完善。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v1.2：任务取消/重试由展示能力提升到业务留痕能力。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0.62</x:v>
      </x:c>
      <x:c r="H10" s="50" t="str">
        <x:v>v1.2支持通知单条已读、归档和批量已读；审核分配可生成定向通知；通知状态进入工作台刷新。</x:v>
      </x:c>
      <x:c r="I10" s="50" t="str">
        <x:v>通知订阅偏好仅预留表，前端配置、WebSocket/推送和历史通知中心未完成。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v1.2：通知处理闭环增强。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0.52</x:v>
      </x:c>
      <x:c r="H11" s="50" t="str">
        <x:v>管理视角继续展示跨项目进度、风险、任务、成果和事件；事件流有助于领导查看协同推进情况。</x:v>
      </x:c>
      <x:c r="I11" s="50" t="str">
        <x:v>尚未形成只读领导驾驶舱专属口径、里程碑、方案比选和发布版数据过滤。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v1.2：领导视角可看到更多协作事件，但仍非完整驾驶舱。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少量实现</x:v>
      </x:c>
      <x:c r="G12" s="52" t="n">
        <x:v>0.15</x:v>
      </x:c>
      <x:c r="H12" s="50" t="str">
        <x:v>前端增加行级记录弹窗和空记录提示；工作台操作失败时由现有错误提示返回，避免静默失败。</x:v>
      </x:c>
      <x:c r="I12" s="50" t="str">
        <x:v>后端仍未实现单卡隔离失败、局部错误标记、任务心跳和疑似卡住自动终止；本次未扩展任务中心底层能力。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v1.2边界内完善：仅补前端行级记录容错，不新增任务心跳模块。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0.75</x:v>
      </x:c>
      <x:c r="H13" s="50" t="str">
        <x:v>已实现项目创建、列表和部分详情/概览能力。</x:v>
      </x:c>
      <x:c r="I13" s="50" t="str">
        <x:v>字段、项目主页统计和生命周期操作仍不完整。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46206</x:v>
      </x:c>
      <x:c r="P13" s="50" t="str"/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少量实现</x:v>
      </x:c>
      <x:c r="G14" s="52" t="n">
        <x:v>0.2</x:v>
      </x:c>
      <x:c r="H14" s="50" t="str">
        <x:v>存在基础创建入口。</x:v>
      </x:c>
      <x:c r="I14" s="50" t="str">
        <x:v>缺少分步向导、草稿校验、模板/规则/密级/成员设置。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46206</x:v>
      </x:c>
      <x:c r="P14" s="50" t="str"/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少量实现</x:v>
      </x:c>
      <x:c r="G15" s="52" t="n">
        <x:v>0.1</x:v>
      </x:c>
      <x:c r="H15" s="50" t="str">
        <x:v>当前主要创建项目主表。</x:v>
      </x:c>
      <x:c r="I15" s="50" t="str">
        <x:v>新项目不能形成可直接运行的完整业务骨架。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46206</x:v>
      </x:c>
      <x:c r="P15" s="50" t="str"/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少量实现</x:v>
      </x:c>
      <x:c r="G16" s="52" t="n">
        <x:v>0.15</x:v>
      </x:c>
      <x:c r="H16" s="50" t="str">
        <x:v>有模板元数据和报告大纲文件。</x:v>
      </x:c>
      <x:c r="I16" s="50" t="str">
        <x:v>没有正式 template_version 绑定、冻结和迁移记录。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46206</x:v>
      </x:c>
      <x:c r="P16" s="50" t="str"/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少量实现</x:v>
      </x:c>
      <x:c r="G17" s="52" t="n">
        <x:v>0.05</x:v>
      </x:c>
      <x:c r="H17" s="50" t="str">
        <x:v>数据库迁移中出现 project_members 概念。</x:v>
      </x:c>
      <x:c r="I17" s="50" t="str">
        <x:v>模型/API/鉴权流程未真正使用；登录用户近似全局操作员。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46206</x:v>
      </x:c>
      <x:c r="P17" s="50" t="str"/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少量实现</x:v>
      </x:c>
      <x:c r="G18" s="52" t="n">
        <x:v>0.1</x:v>
      </x:c>
      <x:c r="H18" s="50" t="str">
        <x:v>页面存在阶段性进度提示。</x:v>
      </x:c>
      <x:c r="I18" s="50" t="str">
        <x:v>没有 milestone 实体、维护和提醒。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46206</x:v>
      </x:c>
      <x:c r="P18" s="50" t="str"/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未完成</x:v>
      </x:c>
      <x:c r="G19" s="52" t="n">
        <x:v>0</x:v>
      </x:c>
      <x:c r="H19" s="50" t="str">
        <x:v>存在少量全局环境配置。</x:v>
      </x:c>
      <x:c r="I19" s="50" t="str">
        <x:v>无项目密级、外发策略、水印及项目级配置版本。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46206</x:v>
      </x:c>
      <x:c r="P19" s="50" t="str"/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少量实现</x:v>
      </x:c>
      <x:c r="G20" s="52" t="n">
        <x:v>0.25</x:v>
      </x:c>
      <x:c r="H20" s="50" t="str">
        <x:v>项目存在基础状态字段。</x:v>
      </x:c>
      <x:c r="I20" s="50" t="str">
        <x:v>无严格状态迁移、关闭前任务/审核校验和关闭后只读控制。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46206</x:v>
      </x:c>
      <x:c r="P20" s="50" t="str"/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少量实现</x:v>
      </x:c>
      <x:c r="G21" s="52" t="n">
        <x:v>0.1</x:v>
      </x:c>
      <x:c r="H21" s="50" t="str">
        <x:v>未发现完整复制和修订流程。</x:v>
      </x:c>
      <x:c r="I21" s="50" t="str">
        <x:v>缺少复制范围控制、修订基线和变更说明。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46206</x:v>
      </x:c>
      <x:c r="P21" s="50" t="str"/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部分完成</x:v>
      </x:c>
      <x:c r="G22" s="52" t="n">
        <x:v>0.4</x:v>
      </x:c>
      <x:c r="H22" s="50" t="str">
        <x:v>项目具备编码字段。</x:v>
      </x:c>
      <x:c r="I22" s="50" t="str">
        <x:v>未确认数据库唯一约束及编号规则中心。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46206</x:v>
      </x:c>
      <x:c r="P22" s="50" t="str"/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00dda619324cc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</x:sheetData>
  <x:mergeCells>
    <x:mergeCell ref="A1:H1"/>
    <x:mergeCell ref="A2:H2"/>
  </x:mergeCells>
  <x:pageMargins left="0.7" right="0.7" top="0.75" bottom="0.75" header="0.3" footer="0.3"/>
</x:worksheet>
</file>